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Intermediate Sums" sheetId="2" r:id="rId6"/>
    <sheet state="visible" name="Data" sheetId="3" r:id="rId7"/>
    <sheet state="visible" name="Define" sheetId="4" r:id="rId8"/>
  </sheets>
  <definedNames/>
  <calcPr/>
</workbook>
</file>

<file path=xl/sharedStrings.xml><?xml version="1.0" encoding="utf-8"?>
<sst xmlns="http://schemas.openxmlformats.org/spreadsheetml/2006/main" count="110" uniqueCount="90">
  <si>
    <t>Gun 1</t>
  </si>
  <si>
    <t>Tickrate:</t>
  </si>
  <si>
    <t>ms/tick</t>
  </si>
  <si>
    <t>Ammo Types</t>
  </si>
  <si>
    <t>H Bonus</t>
  </si>
  <si>
    <t>D Bonus</t>
  </si>
  <si>
    <t>Normal</t>
  </si>
  <si>
    <t>HP</t>
  </si>
  <si>
    <t>Synth</t>
  </si>
  <si>
    <t>Match</t>
  </si>
  <si>
    <t>Barrel Types</t>
  </si>
  <si>
    <t>V Mod</t>
  </si>
  <si>
    <t>Extended</t>
  </si>
  <si>
    <t>Short</t>
  </si>
  <si>
    <t>MV</t>
  </si>
  <si>
    <t>Drag</t>
  </si>
  <si>
    <t>E Bonus</t>
  </si>
  <si>
    <t>S Malus</t>
  </si>
  <si>
    <t>RoF</t>
  </si>
  <si>
    <t>HS Mult</t>
  </si>
  <si>
    <t>M433</t>
  </si>
  <si>
    <t>B364A4</t>
  </si>
  <si>
    <t>SOR-556 MK2</t>
  </si>
  <si>
    <t>AK4D</t>
  </si>
  <si>
    <t>TR-7</t>
  </si>
  <si>
    <t>KORD 6P67</t>
  </si>
  <si>
    <t>NVO-228E</t>
  </si>
  <si>
    <t>L85A3</t>
  </si>
  <si>
    <t>M4A1</t>
  </si>
  <si>
    <t>M277</t>
  </si>
  <si>
    <t>AK-205</t>
  </si>
  <si>
    <t>M417 A2</t>
  </si>
  <si>
    <t>Gun 2</t>
  </si>
  <si>
    <t>QBZ-192</t>
  </si>
  <si>
    <t>GRT-BC</t>
  </si>
  <si>
    <t>Ammo Type</t>
  </si>
  <si>
    <t>Barrel Type</t>
  </si>
  <si>
    <t>SG 553R</t>
  </si>
  <si>
    <t>SOR-300C</t>
  </si>
  <si>
    <t>SCW-10</t>
  </si>
  <si>
    <t>SGX</t>
  </si>
  <si>
    <t>PW5A3</t>
  </si>
  <si>
    <t>KTS100 MK8</t>
  </si>
  <si>
    <t>PW7A2</t>
  </si>
  <si>
    <t>Comparison (gun 1 - gun 2, TTK, ms)</t>
  </si>
  <si>
    <t>Comparison (gun 1 - gun 2, time required to fire the shots, ms)</t>
  </si>
  <si>
    <t>UMG-40</t>
  </si>
  <si>
    <t>USG-90</t>
  </si>
  <si>
    <t>KV9</t>
  </si>
  <si>
    <t>Tick Number</t>
  </si>
  <si>
    <t>SL9</t>
  </si>
  <si>
    <t>Meters in tick</t>
  </si>
  <si>
    <t>L110</t>
  </si>
  <si>
    <t>DRS-IAR</t>
  </si>
  <si>
    <t>M/60</t>
  </si>
  <si>
    <t>RPKM</t>
  </si>
  <si>
    <t>M123K</t>
  </si>
  <si>
    <t>M250</t>
  </si>
  <si>
    <t>M240L</t>
  </si>
  <si>
    <t>M39 EMR</t>
  </si>
  <si>
    <t>LMR27</t>
  </si>
  <si>
    <t>SVK-8.6</t>
  </si>
  <si>
    <t>SVDM</t>
  </si>
  <si>
    <t>G1 TTK Total</t>
  </si>
  <si>
    <t>G1 TTK Shots</t>
  </si>
  <si>
    <t>P18</t>
  </si>
  <si>
    <t>Num hs vs dist (m)</t>
  </si>
  <si>
    <t>ES 5.7</t>
  </si>
  <si>
    <t>M45A1</t>
  </si>
  <si>
    <t>M44</t>
  </si>
  <si>
    <t>GGH-22</t>
  </si>
  <si>
    <t>Time (ms)</t>
  </si>
  <si>
    <t>Speed in tick</t>
  </si>
  <si>
    <t>G2 TTK Total</t>
  </si>
  <si>
    <t>G2 TTK Shots</t>
  </si>
  <si>
    <t>Num hs vs dist</t>
  </si>
  <si>
    <t>Gun 1 ms/shot</t>
  </si>
  <si>
    <t>Gun 2 ms/shot</t>
  </si>
  <si>
    <t>Gun 1 BHTK</t>
  </si>
  <si>
    <t>Gun 2 BHTK</t>
  </si>
  <si>
    <t>Gun 1 HHTK</t>
  </si>
  <si>
    <t>Gun 1 HTTK</t>
  </si>
  <si>
    <t>Gun 2 HHTK</t>
  </si>
  <si>
    <t>Gun 2 HTTK</t>
  </si>
  <si>
    <t>Gun 1 HSD</t>
  </si>
  <si>
    <t>Gun 2 HSD</t>
  </si>
  <si>
    <t>Gun 1 BDam</t>
  </si>
  <si>
    <t>Gun 2 BDam</t>
  </si>
  <si>
    <t>G1 HP Rem</t>
  </si>
  <si>
    <t>G2 HP Rem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</si>
</sst>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81A1B"/>
      <name val="Roboto"/>
    </font>
  </fonts>
  <fills count="7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8FD2B1"/>
        <bgColor rgb="FF8FD2B1"/>
      </patternFill>
    </fill>
    <fill>
      <patternFill patternType="solid">
        <fgColor rgb="FFFFFFFF"/>
        <bgColor rgb="FFFFFFFF"/>
      </patternFill>
    </fill>
    <fill>
      <patternFill patternType="solid">
        <fgColor rgb="FFE5F5ED"/>
        <bgColor rgb="FFE5F5ED"/>
      </patternFill>
    </fill>
    <fill>
      <patternFill patternType="solid">
        <fgColor rgb="FFEDA49E"/>
        <bgColor rgb="FFEDA49E"/>
      </patternFill>
    </fill>
    <fill>
      <patternFill patternType="solid">
        <fgColor rgb="FFE67C73"/>
        <bgColor rgb="FFE67C73"/>
      </patternFill>
    </fill>
    <fill>
      <patternFill patternType="solid">
        <fgColor rgb="FF57BB8A"/>
        <bgColor rgb="FF57BB8A"/>
      </patternFill>
    </fill>
    <fill>
      <patternFill patternType="solid">
        <fgColor rgb="FFFAE6E4"/>
        <bgColor rgb="FFFAE6E4"/>
      </patternFill>
    </fill>
    <fill>
      <patternFill patternType="solid">
        <fgColor rgb="FFD1EDDF"/>
        <bgColor rgb="FFD1EDDF"/>
      </patternFill>
    </fill>
    <fill>
      <patternFill patternType="solid">
        <fgColor rgb="FFD0ECDF"/>
        <bgColor rgb="FFD0ECDF"/>
      </patternFill>
    </fill>
    <fill>
      <patternFill patternType="solid">
        <fgColor rgb="FFF7D7D4"/>
        <bgColor rgb="FFF7D7D4"/>
      </patternFill>
    </fill>
    <fill>
      <patternFill patternType="solid">
        <fgColor rgb="FF6FA8DC"/>
        <bgColor rgb="FF6FA8DC"/>
      </patternFill>
    </fill>
    <fill>
      <patternFill patternType="solid">
        <fgColor rgb="FFE7F6EF"/>
        <bgColor rgb="FFE7F6EF"/>
      </patternFill>
    </fill>
    <fill>
      <patternFill patternType="solid">
        <fgColor rgb="FFF6D3D0"/>
        <bgColor rgb="FFF6D3D0"/>
      </patternFill>
    </fill>
    <fill>
      <patternFill patternType="solid">
        <fgColor rgb="FFF7DAD7"/>
        <bgColor rgb="FFF7DAD7"/>
      </patternFill>
    </fill>
    <fill>
      <patternFill patternType="solid">
        <fgColor rgb="FFEFF9F4"/>
        <bgColor rgb="FFEFF9F4"/>
      </patternFill>
    </fill>
    <fill>
      <patternFill patternType="solid">
        <fgColor rgb="FFB6E2CC"/>
        <bgColor rgb="FFB6E2CC"/>
      </patternFill>
    </fill>
    <fill>
      <patternFill patternType="solid">
        <fgColor rgb="FFFBEEEC"/>
        <bgColor rgb="FFFBEEEC"/>
      </patternFill>
    </fill>
    <fill>
      <patternFill patternType="solid">
        <fgColor rgb="FFF1B6B2"/>
        <bgColor rgb="FFF1B6B2"/>
      </patternFill>
    </fill>
    <fill>
      <patternFill patternType="solid">
        <fgColor rgb="FFBBE4D0"/>
        <bgColor rgb="FFBBE4D0"/>
      </patternFill>
    </fill>
    <fill>
      <patternFill patternType="solid">
        <fgColor rgb="FFBDE4D1"/>
        <bgColor rgb="FFBDE4D1"/>
      </patternFill>
    </fill>
    <fill>
      <patternFill patternType="solid">
        <fgColor rgb="FFB9E3CE"/>
        <bgColor rgb="FFB9E3CE"/>
      </patternFill>
    </fill>
    <fill>
      <patternFill patternType="solid">
        <fgColor rgb="FFD4EEE2"/>
        <bgColor rgb="FFD4EEE2"/>
      </patternFill>
    </fill>
    <fill>
      <patternFill patternType="solid">
        <fgColor rgb="FFD0ECDE"/>
        <bgColor rgb="FFD0ECDE"/>
      </patternFill>
    </fill>
    <fill>
      <patternFill patternType="solid">
        <fgColor rgb="FFFBECEB"/>
        <bgColor rgb="FFFBECEB"/>
      </patternFill>
    </fill>
    <fill>
      <patternFill patternType="solid">
        <fgColor rgb="FF99D6B8"/>
        <bgColor rgb="FF99D6B8"/>
      </patternFill>
    </fill>
    <fill>
      <patternFill patternType="solid">
        <fgColor rgb="FFE9F6F0"/>
        <bgColor rgb="FFE9F6F0"/>
      </patternFill>
    </fill>
    <fill>
      <patternFill patternType="solid">
        <fgColor rgb="FFE1F3EA"/>
        <bgColor rgb="FFE1F3EA"/>
      </patternFill>
    </fill>
    <fill>
      <patternFill patternType="solid">
        <fgColor rgb="FFF1B9B5"/>
        <bgColor rgb="FFF1B9B5"/>
      </patternFill>
    </fill>
    <fill>
      <patternFill patternType="solid">
        <fgColor rgb="FF6AA84F"/>
        <bgColor rgb="FF6AA84F"/>
      </patternFill>
    </fill>
    <fill>
      <patternFill patternType="solid">
        <fgColor rgb="FFF2BBB6"/>
        <bgColor rgb="FFF2BBB6"/>
      </patternFill>
    </fill>
    <fill>
      <patternFill patternType="solid">
        <fgColor rgb="FFF6FCF9"/>
        <bgColor rgb="FFF6FCF9"/>
      </patternFill>
    </fill>
    <fill>
      <patternFill patternType="solid">
        <fgColor rgb="FFF8DEDC"/>
        <bgColor rgb="FFF8DEDC"/>
      </patternFill>
    </fill>
    <fill>
      <patternFill patternType="solid">
        <fgColor rgb="FFACDEC5"/>
        <bgColor rgb="FFACDEC5"/>
      </patternFill>
    </fill>
    <fill>
      <patternFill patternType="solid">
        <fgColor rgb="FFDEF2E8"/>
        <bgColor rgb="FFDEF2E8"/>
      </patternFill>
    </fill>
    <fill>
      <patternFill patternType="solid">
        <fgColor rgb="FFC7E9D8"/>
        <bgColor rgb="FFC7E9D8"/>
      </patternFill>
    </fill>
    <fill>
      <patternFill patternType="solid">
        <fgColor rgb="FF7CCAA4"/>
        <bgColor rgb="FF7CCAA4"/>
      </patternFill>
    </fill>
    <fill>
      <patternFill patternType="solid">
        <fgColor rgb="FFCAEADA"/>
        <bgColor rgb="FFCAEADA"/>
      </patternFill>
    </fill>
    <fill>
      <patternFill patternType="solid">
        <fgColor rgb="FFEFB0AA"/>
        <bgColor rgb="FFEFB0AA"/>
      </patternFill>
    </fill>
    <fill>
      <patternFill patternType="solid">
        <fgColor rgb="FFEFAFAA"/>
        <bgColor rgb="FFEFAFAA"/>
      </patternFill>
    </fill>
    <fill>
      <patternFill patternType="solid">
        <fgColor rgb="FFEDA29B"/>
        <bgColor rgb="FFEDA29B"/>
      </patternFill>
    </fill>
    <fill>
      <patternFill patternType="solid">
        <fgColor rgb="FFF7D9D7"/>
        <bgColor rgb="FFF7D9D7"/>
      </patternFill>
    </fill>
    <fill>
      <patternFill patternType="solid">
        <fgColor rgb="FFFCF4F3"/>
        <bgColor rgb="FFFCF4F3"/>
      </patternFill>
    </fill>
    <fill>
      <patternFill patternType="solid">
        <fgColor rgb="FFC3E7D6"/>
        <bgColor rgb="FFC3E7D6"/>
      </patternFill>
    </fill>
    <fill>
      <patternFill patternType="solid">
        <fgColor rgb="FFEB9992"/>
        <bgColor rgb="FFEB9992"/>
      </patternFill>
    </fill>
    <fill>
      <patternFill patternType="solid">
        <fgColor rgb="FFFFFF00"/>
        <bgColor rgb="FFFFFF00"/>
      </patternFill>
    </fill>
    <fill>
      <patternFill patternType="solid">
        <fgColor rgb="FFEAF7F0"/>
        <bgColor rgb="FFEAF7F0"/>
      </patternFill>
    </fill>
    <fill>
      <patternFill patternType="solid">
        <fgColor rgb="FFB7E2CD"/>
        <bgColor rgb="FFB7E2CD"/>
      </patternFill>
    </fill>
    <fill>
      <patternFill patternType="solid">
        <fgColor rgb="FFFAE7E5"/>
        <bgColor rgb="FFFAE7E5"/>
      </patternFill>
    </fill>
    <fill>
      <patternFill patternType="solid">
        <fgColor rgb="FF8BD0AE"/>
        <bgColor rgb="FF8BD0AE"/>
      </patternFill>
    </fill>
    <fill>
      <patternFill patternType="solid">
        <fgColor rgb="FFCBEADB"/>
        <bgColor rgb="FFCBEADB"/>
      </patternFill>
    </fill>
    <fill>
      <patternFill patternType="solid">
        <fgColor rgb="FFEDA59F"/>
        <bgColor rgb="FFEDA59F"/>
      </patternFill>
    </fill>
    <fill>
      <patternFill patternType="solid">
        <fgColor rgb="FFE4F4EC"/>
        <bgColor rgb="FFE4F4EC"/>
      </patternFill>
    </fill>
    <fill>
      <patternFill patternType="solid">
        <fgColor rgb="FFEDF8F2"/>
        <bgColor rgb="FFEDF8F2"/>
      </patternFill>
    </fill>
    <fill>
      <patternFill patternType="solid">
        <fgColor rgb="FFEFABA5"/>
        <bgColor rgb="FFEFABA5"/>
      </patternFill>
    </fill>
    <fill>
      <patternFill patternType="solid">
        <fgColor rgb="FFF5FBF8"/>
        <bgColor rgb="FFF5FBF8"/>
      </patternFill>
    </fill>
    <fill>
      <patternFill patternType="solid">
        <fgColor rgb="FFDFF2E9"/>
        <bgColor rgb="FFDFF2E9"/>
      </patternFill>
    </fill>
    <fill>
      <patternFill patternType="solid">
        <fgColor rgb="FFFF9900"/>
        <bgColor rgb="FFFF9900"/>
      </patternFill>
    </fill>
    <fill>
      <patternFill patternType="solid">
        <fgColor rgb="FFFAE4E3"/>
        <bgColor rgb="FFFAE4E3"/>
      </patternFill>
    </fill>
    <fill>
      <patternFill patternType="solid">
        <fgColor rgb="FFFAE9E7"/>
        <bgColor rgb="FFFAE9E7"/>
      </patternFill>
    </fill>
    <fill>
      <patternFill patternType="solid">
        <fgColor rgb="FF90D2B2"/>
        <bgColor rgb="FF90D2B2"/>
      </patternFill>
    </fill>
    <fill>
      <patternFill patternType="solid">
        <fgColor rgb="FFEAF7F1"/>
        <bgColor rgb="FFEAF7F1"/>
      </patternFill>
    </fill>
    <fill>
      <patternFill patternType="solid">
        <fgColor rgb="FFBF9000"/>
        <bgColor rgb="FFBF9000"/>
      </patternFill>
    </fill>
    <fill>
      <patternFill patternType="solid">
        <fgColor rgb="FFEB9891"/>
        <bgColor rgb="FFEB9891"/>
      </patternFill>
    </fill>
    <fill>
      <patternFill patternType="solid">
        <fgColor rgb="FFF7D6D3"/>
        <bgColor rgb="FFF7D6D3"/>
      </patternFill>
    </fill>
    <fill>
      <patternFill patternType="solid">
        <fgColor rgb="FFF4C6C2"/>
        <bgColor rgb="FFF4C6C2"/>
      </patternFill>
    </fill>
    <fill>
      <patternFill patternType="solid">
        <fgColor rgb="FFFCF3F2"/>
        <bgColor rgb="FFFCF3F2"/>
      </patternFill>
    </fill>
    <fill>
      <patternFill patternType="solid">
        <fgColor rgb="FFD7EFE3"/>
        <bgColor rgb="FFD7EFE3"/>
      </patternFill>
    </fill>
    <fill>
      <patternFill patternType="solid">
        <fgColor rgb="FFEEF9F3"/>
        <bgColor rgb="FFEEF9F3"/>
      </patternFill>
    </fill>
    <fill>
      <patternFill patternType="solid">
        <fgColor rgb="FFFCFEFD"/>
        <bgColor rgb="FFFCFEFD"/>
      </patternFill>
    </fill>
    <fill>
      <patternFill patternType="solid">
        <fgColor rgb="FFEBF7F1"/>
        <bgColor rgb="FFEBF7F1"/>
      </patternFill>
    </fill>
  </fills>
  <borders count="5">
    <border/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49" xfId="0" applyAlignment="1" applyBorder="1" applyFill="1" applyFont="1" applyNumberFormat="1">
      <alignment shrinkToFit="0" wrapText="0"/>
    </xf>
    <xf borderId="0" fillId="2" fontId="2" numFmtId="0" xfId="0" applyAlignment="1" applyFont="1">
      <alignment readingOrder="0" shrinkToFit="0" wrapText="0"/>
    </xf>
    <xf borderId="2" fillId="3" fontId="2" numFmtId="1" xfId="0" applyAlignment="1" applyBorder="1" applyFill="1" applyFont="1" applyNumberFormat="1">
      <alignment horizontal="right" shrinkToFit="0" wrapText="0"/>
    </xf>
    <xf borderId="2" fillId="4" fontId="2" numFmtId="1" xfId="0" applyAlignment="1" applyBorder="1" applyFill="1" applyFont="1" applyNumberFormat="1">
      <alignment horizontal="right" shrinkToFit="0" wrapText="0"/>
    </xf>
    <xf borderId="2" fillId="5" fontId="2" numFmtId="1" xfId="0" applyAlignment="1" applyBorder="1" applyFill="1" applyFont="1" applyNumberFormat="1">
      <alignment horizontal="right" shrinkToFit="0" wrapText="0"/>
    </xf>
    <xf borderId="0" fillId="0" fontId="1" numFmtId="1" xfId="0" applyAlignment="1" applyFont="1" applyNumberFormat="1">
      <alignment readingOrder="0"/>
    </xf>
    <xf borderId="2" fillId="6" fontId="2" numFmtId="1" xfId="0" applyAlignment="1" applyBorder="1" applyFill="1" applyFont="1" applyNumberFormat="1">
      <alignment horizontal="right" shrinkToFit="0" wrapText="0"/>
    </xf>
    <xf borderId="2" fillId="7" fontId="2" numFmtId="1" xfId="0" applyAlignment="1" applyBorder="1" applyFill="1" applyFont="1" applyNumberFormat="1">
      <alignment horizontal="right" shrinkToFit="0" wrapText="0"/>
    </xf>
    <xf borderId="2" fillId="8" fontId="2" numFmtId="1" xfId="0" applyAlignment="1" applyBorder="1" applyFill="1" applyFont="1" applyNumberFormat="1">
      <alignment horizontal="right" shrinkToFit="0" wrapText="0"/>
    </xf>
    <xf borderId="2" fillId="9" fontId="2" numFmtId="1" xfId="0" applyAlignment="1" applyBorder="1" applyFill="1" applyFont="1" applyNumberFormat="1">
      <alignment horizontal="right" shrinkToFit="0" wrapText="0"/>
    </xf>
    <xf borderId="2" fillId="10" fontId="2" numFmtId="1" xfId="0" applyAlignment="1" applyBorder="1" applyFill="1" applyFont="1" applyNumberFormat="1">
      <alignment horizontal="right" shrinkToFit="0" wrapText="0"/>
    </xf>
    <xf borderId="2" fillId="11" fontId="2" numFmtId="1" xfId="0" applyAlignment="1" applyBorder="1" applyFill="1" applyFont="1" applyNumberFormat="1">
      <alignment horizontal="right" shrinkToFit="0" wrapText="0"/>
    </xf>
    <xf borderId="3" fillId="2" fontId="2" numFmtId="49" xfId="0" applyAlignment="1" applyBorder="1" applyFont="1" applyNumberFormat="1">
      <alignment shrinkToFit="0" wrapText="0"/>
    </xf>
    <xf borderId="4" fillId="12" fontId="2" numFmtId="1" xfId="0" applyAlignment="1" applyBorder="1" applyFill="1" applyFont="1" applyNumberFormat="1">
      <alignment horizontal="right" shrinkToFit="0" wrapText="0"/>
    </xf>
    <xf borderId="4" fillId="4" fontId="2" numFmtId="1" xfId="0" applyAlignment="1" applyBorder="1" applyFont="1" applyNumberFormat="1">
      <alignment horizontal="right" shrinkToFit="0" wrapText="0"/>
    </xf>
    <xf borderId="1" fillId="13" fontId="2" numFmtId="49" xfId="0" applyAlignment="1" applyBorder="1" applyFill="1" applyFont="1" applyNumberFormat="1">
      <alignment shrinkToFit="0" wrapText="0"/>
    </xf>
    <xf borderId="2" fillId="14" fontId="2" numFmtId="1" xfId="0" applyAlignment="1" applyBorder="1" applyFill="1" applyFont="1" applyNumberFormat="1">
      <alignment horizontal="right" shrinkToFit="0" wrapText="0"/>
    </xf>
    <xf borderId="2" fillId="15" fontId="2" numFmtId="1" xfId="0" applyAlignment="1" applyBorder="1" applyFill="1" applyFont="1" applyNumberFormat="1">
      <alignment horizontal="right" shrinkToFit="0" wrapText="0"/>
    </xf>
    <xf borderId="2" fillId="16" fontId="2" numFmtId="1" xfId="0" applyAlignment="1" applyBorder="1" applyFill="1" applyFont="1" applyNumberFormat="1">
      <alignment horizontal="right" shrinkToFit="0" wrapText="0"/>
    </xf>
    <xf borderId="2" fillId="17" fontId="2" numFmtId="1" xfId="0" applyAlignment="1" applyBorder="1" applyFill="1" applyFont="1" applyNumberFormat="1">
      <alignment horizontal="right" shrinkToFit="0" wrapText="0"/>
    </xf>
    <xf borderId="2" fillId="18" fontId="2" numFmtId="1" xfId="0" applyAlignment="1" applyBorder="1" applyFill="1" applyFont="1" applyNumberFormat="1">
      <alignment horizontal="right" shrinkToFit="0" wrapText="0"/>
    </xf>
    <xf borderId="2" fillId="19" fontId="2" numFmtId="1" xfId="0" applyAlignment="1" applyBorder="1" applyFill="1" applyFont="1" applyNumberFormat="1">
      <alignment horizontal="right" shrinkToFit="0" wrapText="0"/>
    </xf>
    <xf borderId="2" fillId="20" fontId="2" numFmtId="1" xfId="0" applyAlignment="1" applyBorder="1" applyFill="1" applyFont="1" applyNumberFormat="1">
      <alignment horizontal="right" shrinkToFit="0" wrapText="0"/>
    </xf>
    <xf borderId="2" fillId="21" fontId="2" numFmtId="1" xfId="0" applyAlignment="1" applyBorder="1" applyFill="1" applyFont="1" applyNumberFormat="1">
      <alignment horizontal="right" shrinkToFit="0" wrapText="0"/>
    </xf>
    <xf borderId="2" fillId="22" fontId="2" numFmtId="1" xfId="0" applyAlignment="1" applyBorder="1" applyFill="1" applyFont="1" applyNumberFormat="1">
      <alignment horizontal="right" shrinkToFit="0" wrapText="0"/>
    </xf>
    <xf borderId="2" fillId="23" fontId="2" numFmtId="1" xfId="0" applyAlignment="1" applyBorder="1" applyFill="1" applyFont="1" applyNumberFormat="1">
      <alignment horizontal="right" shrinkToFit="0" wrapText="0"/>
    </xf>
    <xf borderId="2" fillId="24" fontId="2" numFmtId="1" xfId="0" applyAlignment="1" applyBorder="1" applyFill="1" applyFont="1" applyNumberFormat="1">
      <alignment horizontal="right" shrinkToFit="0" wrapText="0"/>
    </xf>
    <xf borderId="2" fillId="25" fontId="2" numFmtId="1" xfId="0" applyAlignment="1" applyBorder="1" applyFill="1" applyFont="1" applyNumberFormat="1">
      <alignment horizontal="right" shrinkToFit="0" wrapText="0"/>
    </xf>
    <xf borderId="2" fillId="26" fontId="2" numFmtId="1" xfId="0" applyAlignment="1" applyBorder="1" applyFill="1" applyFont="1" applyNumberFormat="1">
      <alignment horizontal="right" shrinkToFit="0" wrapText="0"/>
    </xf>
    <xf borderId="2" fillId="27" fontId="2" numFmtId="1" xfId="0" applyAlignment="1" applyBorder="1" applyFill="1" applyFont="1" applyNumberFormat="1">
      <alignment horizontal="right" shrinkToFit="0" wrapText="0"/>
    </xf>
    <xf borderId="2" fillId="28" fontId="2" numFmtId="1" xfId="0" applyAlignment="1" applyBorder="1" applyFill="1" applyFont="1" applyNumberFormat="1">
      <alignment horizontal="right" shrinkToFit="0" wrapText="0"/>
    </xf>
    <xf borderId="2" fillId="29" fontId="2" numFmtId="1" xfId="0" applyAlignment="1" applyBorder="1" applyFill="1" applyFont="1" applyNumberFormat="1">
      <alignment horizontal="right" shrinkToFit="0" wrapText="0"/>
    </xf>
    <xf borderId="3" fillId="13" fontId="2" numFmtId="49" xfId="0" applyAlignment="1" applyBorder="1" applyFont="1" applyNumberFormat="1">
      <alignment shrinkToFit="0" wrapText="0"/>
    </xf>
    <xf borderId="4" fillId="30" fontId="2" numFmtId="1" xfId="0" applyAlignment="1" applyBorder="1" applyFill="1" applyFont="1" applyNumberFormat="1">
      <alignment horizontal="right" shrinkToFit="0" wrapText="0"/>
    </xf>
    <xf borderId="4" fillId="7" fontId="2" numFmtId="1" xfId="0" applyAlignment="1" applyBorder="1" applyFont="1" applyNumberFormat="1">
      <alignment horizontal="right" shrinkToFit="0" wrapText="0"/>
    </xf>
    <xf borderId="4" fillId="8" fontId="2" numFmtId="1" xfId="0" applyAlignment="1" applyBorder="1" applyFont="1" applyNumberFormat="1">
      <alignment horizontal="right" shrinkToFit="0" wrapText="0"/>
    </xf>
    <xf borderId="4" fillId="18" fontId="2" numFmtId="1" xfId="0" applyAlignment="1" applyBorder="1" applyFont="1" applyNumberFormat="1">
      <alignment horizontal="right" shrinkToFit="0" wrapText="0"/>
    </xf>
    <xf borderId="4" fillId="29" fontId="2" numFmtId="1" xfId="0" applyAlignment="1" applyBorder="1" applyFont="1" applyNumberFormat="1">
      <alignment horizontal="right" shrinkToFit="0" wrapText="0"/>
    </xf>
    <xf borderId="1" fillId="31" fontId="2" numFmtId="49" xfId="0" applyAlignment="1" applyBorder="1" applyFill="1" applyFont="1" applyNumberFormat="1">
      <alignment shrinkToFit="0" wrapText="0"/>
    </xf>
    <xf borderId="2" fillId="32" fontId="2" numFmtId="1" xfId="0" applyAlignment="1" applyBorder="1" applyFill="1" applyFont="1" applyNumberFormat="1">
      <alignment horizontal="right" shrinkToFit="0" wrapText="0"/>
    </xf>
    <xf borderId="2" fillId="33" fontId="2" numFmtId="1" xfId="0" applyAlignment="1" applyBorder="1" applyFill="1" applyFont="1" applyNumberFormat="1">
      <alignment horizontal="right" shrinkToFit="0" wrapText="0"/>
    </xf>
    <xf borderId="2" fillId="34" fontId="2" numFmtId="1" xfId="0" applyAlignment="1" applyBorder="1" applyFill="1" applyFont="1" applyNumberFormat="1">
      <alignment horizontal="right" shrinkToFit="0" wrapText="0"/>
    </xf>
    <xf borderId="2" fillId="35" fontId="2" numFmtId="1" xfId="0" applyAlignment="1" applyBorder="1" applyFill="1" applyFont="1" applyNumberFormat="1">
      <alignment horizontal="right" shrinkToFit="0" wrapText="0"/>
    </xf>
    <xf borderId="2" fillId="36" fontId="2" numFmtId="1" xfId="0" applyAlignment="1" applyBorder="1" applyFill="1" applyFont="1" applyNumberFormat="1">
      <alignment horizontal="right" shrinkToFit="0" wrapText="0"/>
    </xf>
    <xf borderId="2" fillId="37" fontId="2" numFmtId="1" xfId="0" applyAlignment="1" applyBorder="1" applyFill="1" applyFont="1" applyNumberFormat="1">
      <alignment horizontal="right" shrinkToFit="0" wrapText="0"/>
    </xf>
    <xf borderId="2" fillId="38" fontId="2" numFmtId="1" xfId="0" applyAlignment="1" applyBorder="1" applyFill="1" applyFont="1" applyNumberFormat="1">
      <alignment horizontal="right" shrinkToFit="0" wrapText="0"/>
    </xf>
    <xf borderId="2" fillId="39" fontId="2" numFmtId="1" xfId="0" applyAlignment="1" applyBorder="1" applyFill="1" applyFont="1" applyNumberFormat="1">
      <alignment horizontal="right" shrinkToFit="0" wrapText="0"/>
    </xf>
    <xf borderId="2" fillId="40" fontId="2" numFmtId="1" xfId="0" applyAlignment="1" applyBorder="1" applyFill="1" applyFont="1" applyNumberFormat="1">
      <alignment horizontal="right" shrinkToFit="0" wrapText="0"/>
    </xf>
    <xf borderId="2" fillId="41" fontId="2" numFmtId="1" xfId="0" applyAlignment="1" applyBorder="1" applyFill="1" applyFont="1" applyNumberFormat="1">
      <alignment horizontal="right" shrinkToFit="0" wrapText="0"/>
    </xf>
    <xf borderId="2" fillId="42" fontId="2" numFmtId="1" xfId="0" applyAlignment="1" applyBorder="1" applyFill="1" applyFont="1" applyNumberFormat="1">
      <alignment horizontal="right" shrinkToFit="0" wrapText="0"/>
    </xf>
    <xf borderId="0" fillId="0" fontId="1" numFmtId="4" xfId="0" applyFont="1" applyNumberFormat="1"/>
    <xf borderId="2" fillId="43" fontId="2" numFmtId="1" xfId="0" applyAlignment="1" applyBorder="1" applyFill="1" applyFont="1" applyNumberFormat="1">
      <alignment horizontal="right" shrinkToFit="0" wrapText="0"/>
    </xf>
    <xf borderId="2" fillId="44" fontId="2" numFmtId="1" xfId="0" applyAlignment="1" applyBorder="1" applyFill="1" applyFont="1" applyNumberFormat="1">
      <alignment horizontal="right" shrinkToFit="0" wrapText="0"/>
    </xf>
    <xf borderId="3" fillId="31" fontId="2" numFmtId="49" xfId="0" applyAlignment="1" applyBorder="1" applyFont="1" applyNumberFormat="1">
      <alignment shrinkToFit="0" wrapText="0"/>
    </xf>
    <xf borderId="4" fillId="45" fontId="2" numFmtId="1" xfId="0" applyAlignment="1" applyBorder="1" applyFill="1" applyFont="1" applyNumberFormat="1">
      <alignment horizontal="right" shrinkToFit="0" wrapText="0"/>
    </xf>
    <xf borderId="4" fillId="46" fontId="2" numFmtId="1" xfId="0" applyAlignment="1" applyBorder="1" applyFill="1" applyFont="1" applyNumberFormat="1">
      <alignment horizontal="right" shrinkToFit="0" wrapText="0"/>
    </xf>
    <xf borderId="1" fillId="47" fontId="2" numFmtId="49" xfId="0" applyAlignment="1" applyBorder="1" applyFill="1" applyFont="1" applyNumberFormat="1">
      <alignment shrinkToFit="0" wrapText="0"/>
    </xf>
    <xf borderId="2" fillId="48" fontId="2" numFmtId="1" xfId="0" applyAlignment="1" applyBorder="1" applyFill="1" applyFont="1" applyNumberFormat="1">
      <alignment horizontal="right" shrinkToFit="0" wrapText="0"/>
    </xf>
    <xf borderId="0" fillId="0" fontId="1" numFmtId="4" xfId="0" applyAlignment="1" applyFont="1" applyNumberFormat="1">
      <alignment readingOrder="0"/>
    </xf>
    <xf borderId="2" fillId="49" fontId="2" numFmtId="1" xfId="0" applyAlignment="1" applyBorder="1" applyFill="1" applyFont="1" applyNumberFormat="1">
      <alignment horizontal="right" shrinkToFit="0" wrapText="0"/>
    </xf>
    <xf borderId="2" fillId="50" fontId="2" numFmtId="1" xfId="0" applyAlignment="1" applyBorder="1" applyFill="1" applyFont="1" applyNumberFormat="1">
      <alignment horizontal="right" shrinkToFit="0" wrapText="0"/>
    </xf>
    <xf borderId="2" fillId="51" fontId="2" numFmtId="1" xfId="0" applyAlignment="1" applyBorder="1" applyFill="1" applyFont="1" applyNumberFormat="1">
      <alignment horizontal="right" shrinkToFit="0" wrapText="0"/>
    </xf>
    <xf borderId="2" fillId="52" fontId="2" numFmtId="1" xfId="0" applyAlignment="1" applyBorder="1" applyFill="1" applyFont="1" applyNumberFormat="1">
      <alignment horizontal="right" readingOrder="0" shrinkToFit="0" wrapText="0"/>
    </xf>
    <xf borderId="2" fillId="53" fontId="2" numFmtId="1" xfId="0" applyAlignment="1" applyBorder="1" applyFill="1" applyFont="1" applyNumberFormat="1">
      <alignment horizontal="right" shrinkToFit="0" wrapText="0"/>
    </xf>
    <xf borderId="2" fillId="54" fontId="2" numFmtId="1" xfId="0" applyAlignment="1" applyBorder="1" applyFill="1" applyFont="1" applyNumberFormat="1">
      <alignment horizontal="right" shrinkToFit="0" wrapText="0"/>
    </xf>
    <xf borderId="2" fillId="55" fontId="2" numFmtId="1" xfId="0" applyAlignment="1" applyBorder="1" applyFill="1" applyFont="1" applyNumberFormat="1">
      <alignment horizontal="right" shrinkToFit="0" wrapText="0"/>
    </xf>
    <xf borderId="2" fillId="56" fontId="2" numFmtId="1" xfId="0" applyAlignment="1" applyBorder="1" applyFill="1" applyFont="1" applyNumberFormat="1">
      <alignment horizontal="right" shrinkToFit="0" wrapText="0"/>
    </xf>
    <xf borderId="2" fillId="57" fontId="2" numFmtId="1" xfId="0" applyAlignment="1" applyBorder="1" applyFill="1" applyFont="1" applyNumberFormat="1">
      <alignment horizontal="right" shrinkToFit="0" wrapText="0"/>
    </xf>
    <xf borderId="2" fillId="58" fontId="2" numFmtId="1" xfId="0" applyAlignment="1" applyBorder="1" applyFill="1" applyFont="1" applyNumberFormat="1">
      <alignment horizontal="right" shrinkToFit="0" wrapText="0"/>
    </xf>
    <xf borderId="2" fillId="8" fontId="2" numFmtId="1" xfId="0" applyAlignment="1" applyBorder="1" applyFont="1" applyNumberFormat="1">
      <alignment horizontal="right" readingOrder="0" shrinkToFit="0" wrapText="0"/>
    </xf>
    <xf borderId="3" fillId="47" fontId="2" numFmtId="49" xfId="0" applyAlignment="1" applyBorder="1" applyFont="1" applyNumberFormat="1">
      <alignment shrinkToFit="0" wrapText="0"/>
    </xf>
    <xf borderId="4" fillId="22" fontId="2" numFmtId="1" xfId="0" applyAlignment="1" applyBorder="1" applyFont="1" applyNumberFormat="1">
      <alignment horizontal="right" shrinkToFit="0" wrapText="0"/>
    </xf>
    <xf borderId="1" fillId="59" fontId="2" numFmtId="49" xfId="0" applyAlignment="1" applyBorder="1" applyFill="1" applyFont="1" applyNumberFormat="1">
      <alignment shrinkToFit="0" wrapText="0"/>
    </xf>
    <xf borderId="2" fillId="60" fontId="2" numFmtId="1" xfId="0" applyAlignment="1" applyBorder="1" applyFill="1" applyFont="1" applyNumberFormat="1">
      <alignment horizontal="right" shrinkToFit="0" wrapText="0"/>
    </xf>
    <xf borderId="2" fillId="61" fontId="2" numFmtId="1" xfId="0" applyAlignment="1" applyBorder="1" applyFill="1" applyFont="1" applyNumberFormat="1">
      <alignment horizontal="right" shrinkToFit="0" wrapText="0"/>
    </xf>
    <xf borderId="2" fillId="62" fontId="2" numFmtId="1" xfId="0" applyAlignment="1" applyBorder="1" applyFill="1" applyFont="1" applyNumberFormat="1">
      <alignment horizontal="right" shrinkToFit="0" wrapText="0"/>
    </xf>
    <xf borderId="3" fillId="59" fontId="2" numFmtId="49" xfId="0" applyAlignment="1" applyBorder="1" applyFont="1" applyNumberFormat="1">
      <alignment shrinkToFit="0" wrapText="0"/>
    </xf>
    <xf borderId="4" fillId="63" fontId="2" numFmtId="1" xfId="0" applyAlignment="1" applyBorder="1" applyFill="1" applyFont="1" applyNumberFormat="1">
      <alignment horizontal="right" shrinkToFit="0" wrapText="0"/>
    </xf>
    <xf borderId="1" fillId="64" fontId="2" numFmtId="0" xfId="0" applyAlignment="1" applyBorder="1" applyFill="1" applyFont="1">
      <alignment shrinkToFit="0" wrapText="0"/>
    </xf>
    <xf borderId="2" fillId="65" fontId="2" numFmtId="0" xfId="0" applyAlignment="1" applyBorder="1" applyFill="1" applyFont="1">
      <alignment horizontal="right" shrinkToFit="0" wrapText="0"/>
    </xf>
    <xf borderId="2" fillId="4" fontId="2" numFmtId="0" xfId="0" applyAlignment="1" applyBorder="1" applyFont="1">
      <alignment horizontal="right" shrinkToFit="0" wrapText="0"/>
    </xf>
    <xf borderId="2" fillId="66" fontId="2" numFmtId="1" xfId="0" applyAlignment="1" applyBorder="1" applyFill="1" applyFont="1" applyNumberFormat="1">
      <alignment horizontal="right" shrinkToFit="0" wrapText="0"/>
    </xf>
    <xf borderId="2" fillId="67" fontId="2" numFmtId="1" xfId="0" applyAlignment="1" applyBorder="1" applyFill="1" applyFont="1" applyNumberFormat="1">
      <alignment horizontal="right" shrinkToFit="0" wrapText="0"/>
    </xf>
    <xf borderId="2" fillId="8" fontId="2" numFmtId="0" xfId="0" applyAlignment="1" applyBorder="1" applyFont="1">
      <alignment horizontal="right" shrinkToFit="0" wrapText="0"/>
    </xf>
    <xf borderId="2" fillId="8" fontId="2" numFmtId="0" xfId="0" applyAlignment="1" applyBorder="1" applyFont="1">
      <alignment horizontal="right" shrinkToFit="0" wrapText="0"/>
    </xf>
    <xf borderId="2" fillId="7" fontId="2" numFmtId="0" xfId="0" applyAlignment="1" applyBorder="1" applyFont="1">
      <alignment horizontal="right" shrinkToFit="0" wrapText="0"/>
    </xf>
    <xf borderId="2" fillId="68" fontId="2" numFmtId="0" xfId="0" applyAlignment="1" applyBorder="1" applyFill="1" applyFont="1">
      <alignment horizontal="right" shrinkToFit="0" wrapText="0"/>
    </xf>
    <xf borderId="2" fillId="69" fontId="2" numFmtId="1" xfId="0" applyAlignment="1" applyBorder="1" applyFill="1" applyFont="1" applyNumberFormat="1">
      <alignment horizontal="right" shrinkToFit="0" wrapText="0"/>
    </xf>
    <xf borderId="2" fillId="70" fontId="2" numFmtId="1" xfId="0" applyAlignment="1" applyBorder="1" applyFill="1" applyFont="1" applyNumberFormat="1">
      <alignment horizontal="right" shrinkToFit="0" wrapText="0"/>
    </xf>
    <xf borderId="2" fillId="5" fontId="2" numFmtId="0" xfId="0" applyAlignment="1" applyBorder="1" applyFont="1">
      <alignment horizontal="right" shrinkToFit="0" wrapText="0"/>
    </xf>
    <xf borderId="2" fillId="7" fontId="2" numFmtId="0" xfId="0" applyAlignment="1" applyBorder="1" applyFont="1">
      <alignment horizontal="right" shrinkToFit="0" wrapText="0"/>
    </xf>
    <xf borderId="3" fillId="64" fontId="2" numFmtId="0" xfId="0" applyAlignment="1" applyBorder="1" applyFont="1">
      <alignment shrinkToFit="0" wrapText="0"/>
    </xf>
    <xf borderId="4" fillId="5" fontId="2" numFmtId="1" xfId="0" applyAlignment="1" applyBorder="1" applyFont="1" applyNumberFormat="1">
      <alignment horizontal="right" shrinkToFit="0" wrapText="0"/>
    </xf>
    <xf borderId="4" fillId="71" fontId="2" numFmtId="1" xfId="0" applyAlignment="1" applyBorder="1" applyFill="1" applyFont="1" applyNumberFormat="1">
      <alignment horizontal="right" shrinkToFit="0" wrapText="0"/>
    </xf>
    <xf borderId="4" fillId="14" fontId="2" numFmtId="1" xfId="0" applyAlignment="1" applyBorder="1" applyFont="1" applyNumberFormat="1">
      <alignment horizontal="right" shrinkToFit="0" wrapText="0"/>
    </xf>
    <xf borderId="4" fillId="72" fontId="2" numFmtId="1" xfId="0" applyAlignment="1" applyBorder="1" applyFill="1" applyFont="1" applyNumberFormat="1">
      <alignment horizontal="right" shrinkToFit="0" wrapText="0"/>
    </xf>
    <xf borderId="0" fillId="0" fontId="1" numFmtId="1" xfId="0" applyFont="1" applyNumberForma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3">
    <tableStyle count="2" pivot="0" name="Data-style">
      <tableStyleElement dxfId="1" type="firstRowStripe"/>
      <tableStyleElement dxfId="2" type="secondRowStripe"/>
    </tableStyle>
    <tableStyle count="2" pivot="0" name="Data-style 2">
      <tableStyleElement dxfId="1" type="firstRowStripe"/>
      <tableStyleElement dxfId="2" type="secondRowStripe"/>
    </tableStyle>
    <tableStyle count="2" pivot="0" name="Data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Time to target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'Intermediate Sums'!$A$16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'Intermediate Sums'!$B$23:$AP$23</c:f>
            </c:numRef>
          </c:xVal>
          <c:yVal>
            <c:numRef>
              <c:f>'Intermediate Sums'!$B$16:$AP$16</c:f>
              <c:numCache/>
            </c:numRef>
          </c:yVal>
        </c:ser>
        <c:ser>
          <c:idx val="1"/>
          <c:order val="1"/>
          <c:tx>
            <c:strRef>
              <c:f>'Intermediate Sums'!$A$22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'Intermediate Sums'!$B$23:$AP$23</c:f>
            </c:numRef>
          </c:xVal>
          <c:yVal>
            <c:numRef>
              <c:f>'Intermediate Sums'!$B$22:$AP$22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0574278"/>
        <c:axId val="528845528"/>
      </c:scatterChart>
      <c:valAx>
        <c:axId val="10705742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8845528"/>
      </c:valAx>
      <c:valAx>
        <c:axId val="528845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Distance (m)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705742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16</xdr:row>
      <xdr:rowOff>57150</xdr:rowOff>
    </xdr:from>
    <xdr:ext cx="7515225" cy="24003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B42" displayName="Table_1" name="Table_1" id="1">
  <tableColumns count="2">
    <tableColumn name="Column1" id="1"/>
    <tableColumn name="Column2" id="2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headerRowCount="0" ref="G2:G42" displayName="Table_2" name="Table_2" id="2">
  <tableColumns count="1">
    <tableColumn name="Column1" id="1"/>
  </tableColumns>
  <tableStyleInfo name="Data-style 2" showColumnStripes="0" showFirstColumn="1" showLastColumn="1" showRowStripes="1"/>
</table>
</file>

<file path=xl/tables/table3.xml><?xml version="1.0" encoding="utf-8"?>
<table xmlns="http://schemas.openxmlformats.org/spreadsheetml/2006/main" headerRowCount="0" ref="I2:O42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a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25"/>
    <col customWidth="1" min="2" max="2" width="12.13"/>
    <col customWidth="1" min="3" max="3" width="14.5"/>
    <col customWidth="1" min="4" max="9" width="6.13"/>
    <col customWidth="1" min="10" max="10" width="14.5"/>
    <col customWidth="1" min="11" max="13" width="6.13"/>
    <col customWidth="1" min="14" max="15" width="8.5"/>
    <col customWidth="1" min="16" max="42" width="6.13"/>
  </cols>
  <sheetData>
    <row r="1">
      <c r="A1" s="1" t="s">
        <v>0</v>
      </c>
      <c r="B1" s="1" t="s">
        <v>35</v>
      </c>
      <c r="C1" s="1" t="s">
        <v>36</v>
      </c>
      <c r="X1" s="1" t="str">
        <f>Data!X1</f>
        <v/>
      </c>
      <c r="Y1" s="1" t="str">
        <f>Data!Y1</f>
        <v/>
      </c>
      <c r="Z1" s="1" t="str">
        <f>Data!Z1</f>
        <v/>
      </c>
      <c r="AA1" s="1" t="str">
        <f>Data!AA1</f>
        <v/>
      </c>
      <c r="AB1" s="1" t="str">
        <f>Data!AB1</f>
        <v/>
      </c>
      <c r="AC1" s="1" t="str">
        <f>Data!AC1</f>
        <v/>
      </c>
      <c r="AD1" s="1" t="str">
        <f>Data!AD1</f>
        <v/>
      </c>
      <c r="AE1" s="1" t="str">
        <f>Data!AE1</f>
        <v/>
      </c>
      <c r="AF1" s="1" t="str">
        <f>Data!AF1</f>
        <v/>
      </c>
      <c r="AG1" s="1" t="str">
        <f>Data!AG1</f>
        <v/>
      </c>
      <c r="AH1" s="1" t="str">
        <f>Data!AH1</f>
        <v/>
      </c>
      <c r="AI1" s="1"/>
      <c r="AJ1" s="1"/>
      <c r="AK1" s="1"/>
      <c r="AL1" s="1"/>
      <c r="AM1" s="1"/>
      <c r="AN1" s="1"/>
      <c r="AO1" s="1"/>
      <c r="AP1" s="1"/>
    </row>
    <row r="2">
      <c r="A2" s="1" t="s">
        <v>39</v>
      </c>
      <c r="B2" s="1" t="s">
        <v>6</v>
      </c>
      <c r="C2" s="1" t="s">
        <v>6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4">
      <c r="A4" s="1" t="s">
        <v>32</v>
      </c>
      <c r="B4" s="1" t="s">
        <v>35</v>
      </c>
      <c r="C4" s="1" t="s">
        <v>36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1" t="s">
        <v>42</v>
      </c>
      <c r="B5" s="1" t="s">
        <v>6</v>
      </c>
      <c r="C5" s="1" t="s">
        <v>12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>
      <c r="A7" s="1" t="s">
        <v>44</v>
      </c>
      <c r="J7" s="1" t="s">
        <v>45</v>
      </c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>
      <c r="A8" s="2" t="str">
        <f t="shared" ref="A8:H8" si="1">A19</f>
        <v>Num hs vs dist (m)</v>
      </c>
      <c r="B8" s="2">
        <f t="shared" si="1"/>
        <v>0</v>
      </c>
      <c r="C8" s="2">
        <f t="shared" si="1"/>
        <v>10</v>
      </c>
      <c r="D8" s="2">
        <f t="shared" si="1"/>
        <v>20</v>
      </c>
      <c r="E8" s="2">
        <f t="shared" si="1"/>
        <v>35</v>
      </c>
      <c r="F8" s="2">
        <f t="shared" si="1"/>
        <v>50</v>
      </c>
      <c r="G8" s="2">
        <f t="shared" si="1"/>
        <v>70</v>
      </c>
      <c r="H8" s="2">
        <f t="shared" si="1"/>
        <v>80</v>
      </c>
      <c r="J8" s="2" t="str">
        <f t="shared" ref="J8:Q8" si="2">J19</f>
        <v>Num hs vs dist (m)</v>
      </c>
      <c r="K8" s="2">
        <f t="shared" si="2"/>
        <v>0</v>
      </c>
      <c r="L8" s="2">
        <f t="shared" si="2"/>
        <v>10</v>
      </c>
      <c r="M8" s="2">
        <f t="shared" si="2"/>
        <v>20</v>
      </c>
      <c r="N8" s="2">
        <f t="shared" si="2"/>
        <v>35</v>
      </c>
      <c r="O8" s="2">
        <f t="shared" si="2"/>
        <v>50</v>
      </c>
      <c r="P8" s="2">
        <f t="shared" si="2"/>
        <v>70</v>
      </c>
      <c r="Q8" s="2">
        <f t="shared" si="2"/>
        <v>80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>
      <c r="A9" s="2">
        <f t="shared" ref="A9:A16" si="5">A20</f>
        <v>0</v>
      </c>
      <c r="B9" s="2">
        <f t="shared" ref="B9:H9" si="3">B20-B31</f>
        <v>-200.1945525</v>
      </c>
      <c r="C9" s="53">
        <f t="shared" si="3"/>
        <v>-108.5278859</v>
      </c>
      <c r="D9" s="53">
        <f t="shared" si="3"/>
        <v>-108.5278859</v>
      </c>
      <c r="E9" s="53">
        <f t="shared" si="3"/>
        <v>-116.92607</v>
      </c>
      <c r="F9" s="53">
        <f t="shared" si="3"/>
        <v>-8.592736706</v>
      </c>
      <c r="G9" s="53">
        <f t="shared" si="3"/>
        <v>8.073929961</v>
      </c>
      <c r="H9" s="53">
        <f t="shared" si="3"/>
        <v>-0.3242542153</v>
      </c>
      <c r="J9" s="2">
        <f t="shared" ref="J9:J16" si="7">J20</f>
        <v>0</v>
      </c>
      <c r="K9" s="2">
        <f t="shared" ref="K9:Q9" si="4">K20-K31</f>
        <v>-200.1945525</v>
      </c>
      <c r="L9" s="2">
        <f t="shared" si="4"/>
        <v>-125.1945525</v>
      </c>
      <c r="M9" s="2">
        <f t="shared" si="4"/>
        <v>-125.1945525</v>
      </c>
      <c r="N9" s="2">
        <f t="shared" si="4"/>
        <v>-166.92607</v>
      </c>
      <c r="O9" s="2">
        <f t="shared" si="4"/>
        <v>-91.92607004</v>
      </c>
      <c r="P9" s="2">
        <f t="shared" si="4"/>
        <v>-91.92607004</v>
      </c>
      <c r="Q9" s="2">
        <f t="shared" si="4"/>
        <v>-133.6575875</v>
      </c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>
      <c r="A10" s="2">
        <f t="shared" si="5"/>
        <v>1</v>
      </c>
      <c r="B10" s="2">
        <f t="shared" ref="B10:H10" si="6">B21-B32</f>
        <v>-200.1945525</v>
      </c>
      <c r="C10" s="53">
        <f t="shared" si="6"/>
        <v>-108.5278859</v>
      </c>
      <c r="D10" s="53">
        <f t="shared" si="6"/>
        <v>-108.5278859</v>
      </c>
      <c r="E10" s="53">
        <f t="shared" si="6"/>
        <v>-116.92607</v>
      </c>
      <c r="F10" s="53">
        <f t="shared" si="6"/>
        <v>-8.592736706</v>
      </c>
      <c r="G10" s="53">
        <f t="shared" si="6"/>
        <v>8.073929961</v>
      </c>
      <c r="H10" s="53">
        <f t="shared" si="6"/>
        <v>-0.3242542153</v>
      </c>
      <c r="J10" s="2">
        <f t="shared" si="7"/>
        <v>1</v>
      </c>
      <c r="K10" s="2">
        <f t="shared" ref="K10:Q10" si="8">K21-K32</f>
        <v>-200.1945525</v>
      </c>
      <c r="L10" s="2">
        <f t="shared" si="8"/>
        <v>-125.1945525</v>
      </c>
      <c r="M10" s="2">
        <f t="shared" si="8"/>
        <v>-125.1945525</v>
      </c>
      <c r="N10" s="2">
        <f t="shared" si="8"/>
        <v>-166.92607</v>
      </c>
      <c r="O10" s="2">
        <f t="shared" si="8"/>
        <v>-91.92607004</v>
      </c>
      <c r="P10" s="2">
        <f t="shared" si="8"/>
        <v>-91.92607004</v>
      </c>
      <c r="Q10" s="2">
        <f t="shared" si="8"/>
        <v>-133.6575875</v>
      </c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>
      <c r="A11" s="2">
        <f t="shared" si="5"/>
        <v>2</v>
      </c>
      <c r="B11" s="2">
        <f t="shared" ref="B11:H11" si="9">B22-B33</f>
        <v>-200.1945525</v>
      </c>
      <c r="C11" s="53">
        <f t="shared" si="9"/>
        <v>-108.5278859</v>
      </c>
      <c r="D11" s="53">
        <f t="shared" si="9"/>
        <v>-108.5278859</v>
      </c>
      <c r="E11" s="53">
        <f t="shared" si="9"/>
        <v>-116.92607</v>
      </c>
      <c r="F11" s="53">
        <f t="shared" si="9"/>
        <v>-8.592736706</v>
      </c>
      <c r="G11" s="53">
        <f t="shared" si="9"/>
        <v>8.073929961</v>
      </c>
      <c r="H11" s="53">
        <f t="shared" si="9"/>
        <v>-0.3242542153</v>
      </c>
      <c r="J11" s="2">
        <f t="shared" si="7"/>
        <v>2</v>
      </c>
      <c r="K11" s="2">
        <f t="shared" ref="K11:Q11" si="10">K22-K33</f>
        <v>-200.1945525</v>
      </c>
      <c r="L11" s="2">
        <f t="shared" si="10"/>
        <v>-125.1945525</v>
      </c>
      <c r="M11" s="2">
        <f t="shared" si="10"/>
        <v>-125.1945525</v>
      </c>
      <c r="N11" s="2">
        <f t="shared" si="10"/>
        <v>-166.92607</v>
      </c>
      <c r="O11" s="2">
        <f t="shared" si="10"/>
        <v>-91.92607004</v>
      </c>
      <c r="P11" s="2">
        <f t="shared" si="10"/>
        <v>-91.92607004</v>
      </c>
      <c r="Q11" s="2">
        <f t="shared" si="10"/>
        <v>-133.6575875</v>
      </c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>
      <c r="A12" s="2">
        <f t="shared" si="5"/>
        <v>3</v>
      </c>
      <c r="B12" s="2">
        <f t="shared" ref="B12:H12" si="11">B23-B34</f>
        <v>-83.46303502</v>
      </c>
      <c r="C12" s="53">
        <f t="shared" si="11"/>
        <v>-66.79636835</v>
      </c>
      <c r="D12" s="53">
        <f t="shared" si="11"/>
        <v>-66.79636835</v>
      </c>
      <c r="E12" s="53">
        <f t="shared" si="11"/>
        <v>-75.19455253</v>
      </c>
      <c r="F12" s="53">
        <f t="shared" si="11"/>
        <v>33.1387808</v>
      </c>
      <c r="G12" s="53">
        <f t="shared" si="11"/>
        <v>49.80544747</v>
      </c>
      <c r="H12" s="53">
        <f t="shared" si="11"/>
        <v>41.40726329</v>
      </c>
      <c r="J12" s="2">
        <f t="shared" si="7"/>
        <v>3</v>
      </c>
      <c r="K12" s="2">
        <f t="shared" ref="K12:Q12" si="12">K23-K34</f>
        <v>-83.46303502</v>
      </c>
      <c r="L12" s="2">
        <f t="shared" si="12"/>
        <v>-83.46303502</v>
      </c>
      <c r="M12" s="2">
        <f t="shared" si="12"/>
        <v>-83.46303502</v>
      </c>
      <c r="N12" s="2">
        <f t="shared" si="12"/>
        <v>-125.1945525</v>
      </c>
      <c r="O12" s="2">
        <f t="shared" si="12"/>
        <v>-50.19455253</v>
      </c>
      <c r="P12" s="2">
        <f t="shared" si="12"/>
        <v>-50.19455253</v>
      </c>
      <c r="Q12" s="2">
        <f t="shared" si="12"/>
        <v>-91.92607004</v>
      </c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>
      <c r="A13" s="2">
        <f t="shared" si="5"/>
        <v>4</v>
      </c>
      <c r="B13" s="2">
        <f t="shared" ref="B13:H13" si="13">B24-B35</f>
        <v>-83.46303502</v>
      </c>
      <c r="C13" s="53">
        <f t="shared" si="13"/>
        <v>-66.79636835</v>
      </c>
      <c r="D13" s="53">
        <f t="shared" si="13"/>
        <v>-66.79636835</v>
      </c>
      <c r="E13" s="53">
        <f t="shared" si="13"/>
        <v>-75.19455253</v>
      </c>
      <c r="F13" s="53">
        <f t="shared" si="13"/>
        <v>33.1387808</v>
      </c>
      <c r="G13" s="53">
        <f t="shared" si="13"/>
        <v>49.80544747</v>
      </c>
      <c r="H13" s="53">
        <f t="shared" si="13"/>
        <v>41.40726329</v>
      </c>
      <c r="J13" s="2">
        <f t="shared" si="7"/>
        <v>4</v>
      </c>
      <c r="K13" s="2">
        <f t="shared" ref="K13:Q13" si="14">K24-K35</f>
        <v>-83.46303502</v>
      </c>
      <c r="L13" s="2">
        <f t="shared" si="14"/>
        <v>-83.46303502</v>
      </c>
      <c r="M13" s="2">
        <f t="shared" si="14"/>
        <v>-83.46303502</v>
      </c>
      <c r="N13" s="2">
        <f t="shared" si="14"/>
        <v>-125.1945525</v>
      </c>
      <c r="O13" s="2">
        <f t="shared" si="14"/>
        <v>-50.19455253</v>
      </c>
      <c r="P13" s="2">
        <f t="shared" si="14"/>
        <v>-50.19455253</v>
      </c>
      <c r="Q13" s="2">
        <f t="shared" si="14"/>
        <v>-91.92607004</v>
      </c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>
      <c r="A14" s="2">
        <f t="shared" si="5"/>
        <v>5</v>
      </c>
      <c r="B14" s="2">
        <f t="shared" ref="B14:H14" si="15">B25-B36</f>
        <v>-83.46303502</v>
      </c>
      <c r="C14" s="53">
        <f t="shared" si="15"/>
        <v>-66.79636835</v>
      </c>
      <c r="D14" s="53">
        <f t="shared" si="15"/>
        <v>-66.79636835</v>
      </c>
      <c r="E14" s="53">
        <f t="shared" si="15"/>
        <v>-75.19455253</v>
      </c>
      <c r="F14" s="53">
        <f t="shared" si="15"/>
        <v>33.1387808</v>
      </c>
      <c r="G14" s="53">
        <f t="shared" si="15"/>
        <v>49.80544747</v>
      </c>
      <c r="H14" s="53">
        <f t="shared" si="15"/>
        <v>41.40726329</v>
      </c>
      <c r="J14" s="2">
        <f t="shared" si="7"/>
        <v>5</v>
      </c>
      <c r="K14" s="2">
        <f t="shared" ref="K14:Q14" si="16">K25-K36</f>
        <v>-83.46303502</v>
      </c>
      <c r="L14" s="2">
        <f t="shared" si="16"/>
        <v>-83.46303502</v>
      </c>
      <c r="M14" s="2">
        <f t="shared" si="16"/>
        <v>-83.46303502</v>
      </c>
      <c r="N14" s="2">
        <f t="shared" si="16"/>
        <v>-125.1945525</v>
      </c>
      <c r="O14" s="2">
        <f t="shared" si="16"/>
        <v>-50.19455253</v>
      </c>
      <c r="P14" s="2">
        <f t="shared" si="16"/>
        <v>-50.19455253</v>
      </c>
      <c r="Q14" s="2">
        <f t="shared" si="16"/>
        <v>-91.92607004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>
      <c r="A15" s="2">
        <f t="shared" si="5"/>
        <v>6</v>
      </c>
      <c r="B15" s="2">
        <f t="shared" ref="B15:H15" si="17">B26-B37</f>
        <v>-83.46303502</v>
      </c>
      <c r="C15" s="53">
        <f t="shared" si="17"/>
        <v>-66.79636835</v>
      </c>
      <c r="D15" s="53">
        <f t="shared" si="17"/>
        <v>-66.79636835</v>
      </c>
      <c r="E15" s="53">
        <f t="shared" si="17"/>
        <v>-75.19455253</v>
      </c>
      <c r="F15" s="53">
        <f t="shared" si="17"/>
        <v>33.1387808</v>
      </c>
      <c r="G15" s="53">
        <f t="shared" si="17"/>
        <v>49.80544747</v>
      </c>
      <c r="H15" s="53">
        <f t="shared" si="17"/>
        <v>41.40726329</v>
      </c>
      <c r="J15" s="2">
        <f t="shared" si="7"/>
        <v>6</v>
      </c>
      <c r="K15" s="2">
        <f t="shared" ref="K15:Q15" si="18">K26-K37</f>
        <v>-83.46303502</v>
      </c>
      <c r="L15" s="2">
        <f t="shared" si="18"/>
        <v>-83.46303502</v>
      </c>
      <c r="M15" s="2">
        <f t="shared" si="18"/>
        <v>-83.46303502</v>
      </c>
      <c r="N15" s="2">
        <f t="shared" si="18"/>
        <v>-125.1945525</v>
      </c>
      <c r="O15" s="2">
        <f t="shared" si="18"/>
        <v>-50.19455253</v>
      </c>
      <c r="P15" s="2">
        <f t="shared" si="18"/>
        <v>-50.19455253</v>
      </c>
      <c r="Q15" s="2">
        <f t="shared" si="18"/>
        <v>-91.92607004</v>
      </c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>
      <c r="A16" s="2">
        <f t="shared" si="5"/>
        <v>7</v>
      </c>
      <c r="B16" s="2">
        <f t="shared" ref="B16:H16" si="19">B27-B38</f>
        <v>-83.46303502</v>
      </c>
      <c r="C16" s="53">
        <f t="shared" si="19"/>
        <v>-66.79636835</v>
      </c>
      <c r="D16" s="53">
        <f t="shared" si="19"/>
        <v>-66.79636835</v>
      </c>
      <c r="E16" s="53">
        <f t="shared" si="19"/>
        <v>-75.19455253</v>
      </c>
      <c r="F16" s="53">
        <f t="shared" si="19"/>
        <v>33.1387808</v>
      </c>
      <c r="G16" s="53">
        <f t="shared" si="19"/>
        <v>49.80544747</v>
      </c>
      <c r="H16" s="53">
        <f t="shared" si="19"/>
        <v>41.40726329</v>
      </c>
      <c r="J16" s="2">
        <f t="shared" si="7"/>
        <v>7</v>
      </c>
      <c r="K16" s="2">
        <f t="shared" ref="K16:Q16" si="20">K27-K38</f>
        <v>-83.46303502</v>
      </c>
      <c r="L16" s="2">
        <f t="shared" si="20"/>
        <v>-83.46303502</v>
      </c>
      <c r="M16" s="2">
        <f t="shared" si="20"/>
        <v>-83.46303502</v>
      </c>
      <c r="N16" s="2">
        <f t="shared" si="20"/>
        <v>-125.1945525</v>
      </c>
      <c r="O16" s="2">
        <f t="shared" si="20"/>
        <v>-50.19455253</v>
      </c>
      <c r="P16" s="2">
        <f t="shared" si="20"/>
        <v>-50.19455253</v>
      </c>
      <c r="Q16" s="2">
        <f t="shared" si="20"/>
        <v>-91.92607004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>
      <c r="A18" s="1" t="s">
        <v>63</v>
      </c>
      <c r="J18" s="1" t="s">
        <v>64</v>
      </c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>
      <c r="A19" s="1" t="s">
        <v>66</v>
      </c>
      <c r="B19" s="1">
        <v>0.0</v>
      </c>
      <c r="C19" s="1">
        <v>10.0</v>
      </c>
      <c r="D19" s="1">
        <v>20.0</v>
      </c>
      <c r="E19" s="1">
        <v>35.0</v>
      </c>
      <c r="F19" s="1">
        <v>50.0</v>
      </c>
      <c r="G19" s="1">
        <v>70.0</v>
      </c>
      <c r="H19" s="1">
        <v>80.0</v>
      </c>
      <c r="J19" s="1" t="s">
        <v>66</v>
      </c>
      <c r="K19" s="1">
        <v>0.0</v>
      </c>
      <c r="L19" s="1">
        <v>10.0</v>
      </c>
      <c r="M19" s="1">
        <v>20.0</v>
      </c>
      <c r="N19" s="1">
        <v>35.0</v>
      </c>
      <c r="O19" s="1">
        <v>50.0</v>
      </c>
      <c r="P19" s="1">
        <v>70.0</v>
      </c>
      <c r="Q19" s="1">
        <v>80.0</v>
      </c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>
      <c r="A20" s="1">
        <v>0.0</v>
      </c>
      <c r="B20" s="2">
        <f t="shared" ref="B20:B27" si="21">K20+0</f>
        <v>150</v>
      </c>
      <c r="C20" s="53">
        <f t="array" ref="C20">L20+INDEX('Intermediate Sums'!$B$17:$AP$17, MATCH(TRUE, 'Intermediate Sums'!$B$16:$AP$16 &gt; C$19, 0))</f>
        <v>241.6666667</v>
      </c>
      <c r="D20" s="53">
        <f t="array" ref="D20">M20+INDEX('Intermediate Sums'!$B$17:$AP$17, MATCH(TRUE, 'Intermediate Sums'!$B$16:$AP$16 &gt; D$19, 0))</f>
        <v>258.3333333</v>
      </c>
      <c r="E20" s="53">
        <f t="array" ref="E20">N20+INDEX('Intermediate Sums'!$B$17:$AP$17, MATCH(TRUE, 'Intermediate Sums'!$B$16:$AP$16 &gt; E$19, 0))</f>
        <v>383.3333333</v>
      </c>
      <c r="F20" s="53">
        <f t="array" ref="F20">O20+INDEX('Intermediate Sums'!$B$17:$AP$17, MATCH(TRUE, 'Intermediate Sums'!$B$16:$AP$16 &gt; F$19, 0))</f>
        <v>491.6666667</v>
      </c>
      <c r="G20" s="53">
        <f t="array" ref="G20">P20+INDEX('Intermediate Sums'!$B$17:$AP$17, MATCH(TRUE, 'Intermediate Sums'!$B$16:$AP$16 &gt; G$19, 0))</f>
        <v>541.6666667</v>
      </c>
      <c r="H20" s="53">
        <f t="array" ref="H20">Q20+INDEX('Intermediate Sums'!$B$17:$AP$17, MATCH(TRUE, 'Intermediate Sums'!$B$16:$AP$16 &gt; H$19, 0))</f>
        <v>650</v>
      </c>
      <c r="J20" s="1">
        <v>0.0</v>
      </c>
      <c r="K20" s="2">
        <f>if($J20&gt;=CEILING(100/'Intermediate Sums'!B$43,1), ($J20-1)*'Intermediate Sums'!$B$26, (CEILING('Intermediate Sums'!B56/'Intermediate Sums'!B$49,1)+$J20-1)*'Intermediate Sums'!$B$26)</f>
        <v>150</v>
      </c>
      <c r="L20" s="2">
        <f>if($J20&gt;=CEILING(100/'Intermediate Sums'!C$43,1), ($J20-1)*'Intermediate Sums'!$B$26, (CEILING('Intermediate Sums'!C56/'Intermediate Sums'!C$49,1)+$J20-1)*'Intermediate Sums'!$B$26)</f>
        <v>225</v>
      </c>
      <c r="M20" s="2">
        <f>if($J20&gt;=CEILING(100/'Intermediate Sums'!D$43,1), ($J20-1)*'Intermediate Sums'!$B$26, (CEILING('Intermediate Sums'!D56/'Intermediate Sums'!D$49,1)+$J20-1)*'Intermediate Sums'!$B$26)</f>
        <v>225</v>
      </c>
      <c r="N20" s="2">
        <f>if($J20&gt;=CEILING(100/'Intermediate Sums'!E$43,1), ($J20-1)*'Intermediate Sums'!$B$26, (CEILING('Intermediate Sums'!E56/'Intermediate Sums'!E$49,1)+$J20-1)*'Intermediate Sums'!$B$26)</f>
        <v>300</v>
      </c>
      <c r="O20" s="2">
        <f>if($J20&gt;=CEILING(100/'Intermediate Sums'!F$43,1), ($J20-1)*'Intermediate Sums'!$B$26, (CEILING('Intermediate Sums'!F56/'Intermediate Sums'!F$49,1)+$J20-1)*'Intermediate Sums'!$B$26)</f>
        <v>375</v>
      </c>
      <c r="P20" s="2">
        <f>if($J20&gt;=CEILING(100/'Intermediate Sums'!G$43,1), ($J20-1)*'Intermediate Sums'!$B$26, (CEILING('Intermediate Sums'!G56/'Intermediate Sums'!G$49,1)+$J20-1)*'Intermediate Sums'!$B$26)</f>
        <v>375</v>
      </c>
      <c r="Q20" s="2">
        <f>if($J20&gt;=CEILING(100/'Intermediate Sums'!H$43,1), ($J20-1)*'Intermediate Sums'!$B$26, (CEILING('Intermediate Sums'!H56/'Intermediate Sums'!H$49,1)+$J20-1)*'Intermediate Sums'!$B$26)</f>
        <v>450</v>
      </c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>
      <c r="A21" s="1">
        <v>1.0</v>
      </c>
      <c r="B21" s="2">
        <f t="shared" si="21"/>
        <v>150</v>
      </c>
      <c r="C21" s="53">
        <f t="array" ref="C21">L21+INDEX('Intermediate Sums'!$B$17:$AP$17, MATCH(TRUE, 'Intermediate Sums'!$B$16:$AP$16 &gt; C$19, 0))</f>
        <v>241.6666667</v>
      </c>
      <c r="D21" s="53">
        <f t="array" ref="D21">M21+INDEX('Intermediate Sums'!$B$17:$AP$17, MATCH(TRUE, 'Intermediate Sums'!$B$16:$AP$16 &gt; D$19, 0))</f>
        <v>258.3333333</v>
      </c>
      <c r="E21" s="53">
        <f t="array" ref="E21">N21+INDEX('Intermediate Sums'!$B$17:$AP$17, MATCH(TRUE, 'Intermediate Sums'!$B$16:$AP$16 &gt; E$19, 0))</f>
        <v>383.3333333</v>
      </c>
      <c r="F21" s="53">
        <f t="array" ref="F21">O21+INDEX('Intermediate Sums'!$B$17:$AP$17, MATCH(TRUE, 'Intermediate Sums'!$B$16:$AP$16 &gt; F$19, 0))</f>
        <v>491.6666667</v>
      </c>
      <c r="G21" s="53">
        <f t="array" ref="G21">P21+INDEX('Intermediate Sums'!$B$17:$AP$17, MATCH(TRUE, 'Intermediate Sums'!$B$16:$AP$16 &gt; G$19, 0))</f>
        <v>541.6666667</v>
      </c>
      <c r="H21" s="53">
        <f t="array" ref="H21">Q21+INDEX('Intermediate Sums'!$B$17:$AP$17, MATCH(TRUE, 'Intermediate Sums'!$B$16:$AP$16 &gt; H$19, 0))</f>
        <v>650</v>
      </c>
      <c r="J21" s="1">
        <v>1.0</v>
      </c>
      <c r="K21" s="2">
        <f>if($J20&gt;=CEILING(100/'Intermediate Sums'!B$43,1), K20, if($J21&gt;=CEILING(100/'Intermediate Sums'!B$43,1), ($J21-1)*'Intermediate Sums'!$B$26, (CEILING('Intermediate Sums'!B57/'Intermediate Sums'!B$49,1)+$J21-1)*'Intermediate Sums'!$B$26))</f>
        <v>150</v>
      </c>
      <c r="L21" s="2">
        <f>if($J20&gt;=CEILING(100/'Intermediate Sums'!C$43,1), L20, if($J21&gt;=CEILING(100/'Intermediate Sums'!C$43,1), ($J21-1)*'Intermediate Sums'!$B$26, (CEILING('Intermediate Sums'!C57/'Intermediate Sums'!C$49,1)+$J21-1)*'Intermediate Sums'!$B$26))</f>
        <v>225</v>
      </c>
      <c r="M21" s="2">
        <f>if($J20&gt;=CEILING(100/'Intermediate Sums'!D$43,1), M20, if($J21&gt;=CEILING(100/'Intermediate Sums'!D$43,1), ($J21-1)*'Intermediate Sums'!$B$26, (CEILING('Intermediate Sums'!D57/'Intermediate Sums'!D$49,1)+$J21-1)*'Intermediate Sums'!$B$26))</f>
        <v>225</v>
      </c>
      <c r="N21" s="2">
        <f>if($J20&gt;=CEILING(100/'Intermediate Sums'!E$43,1), N20, if($J21&gt;=CEILING(100/'Intermediate Sums'!E$43,1), ($J21-1)*'Intermediate Sums'!$B$26, (CEILING('Intermediate Sums'!E57/'Intermediate Sums'!E$49,1)+$J21-1)*'Intermediate Sums'!$B$26))</f>
        <v>300</v>
      </c>
      <c r="O21" s="2">
        <f>if($J20&gt;=CEILING(100/'Intermediate Sums'!F$43,1), O20, if($J21&gt;=CEILING(100/'Intermediate Sums'!F$43,1), ($J21-1)*'Intermediate Sums'!$B$26, (CEILING('Intermediate Sums'!F57/'Intermediate Sums'!F$49,1)+$J21-1)*'Intermediate Sums'!$B$26))</f>
        <v>375</v>
      </c>
      <c r="P21" s="2">
        <f>if($J20&gt;=CEILING(100/'Intermediate Sums'!G$43,1), P20, if($J21&gt;=CEILING(100/'Intermediate Sums'!G$43,1), ($J21-1)*'Intermediate Sums'!$B$26, (CEILING('Intermediate Sums'!G57/'Intermediate Sums'!G$49,1)+$J21-1)*'Intermediate Sums'!$B$26))</f>
        <v>375</v>
      </c>
      <c r="Q21" s="2">
        <f>if($J20&gt;=CEILING(100/'Intermediate Sums'!H$43,1), Q20, if($J21&gt;=CEILING(100/'Intermediate Sums'!H$43,1), ($J21-1)*'Intermediate Sums'!$B$26, (CEILING('Intermediate Sums'!H57/'Intermediate Sums'!H$49,1)+$J21-1)*'Intermediate Sums'!$B$26))</f>
        <v>450</v>
      </c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>
      <c r="A22" s="1">
        <v>2.0</v>
      </c>
      <c r="B22" s="2">
        <f t="shared" si="21"/>
        <v>150</v>
      </c>
      <c r="C22" s="53">
        <f t="array" ref="C22">L22+INDEX('Intermediate Sums'!$B$17:$AP$17, MATCH(TRUE, 'Intermediate Sums'!$B$16:$AP$16 &gt; C$19, 0))</f>
        <v>241.6666667</v>
      </c>
      <c r="D22" s="53">
        <f t="array" ref="D22">M22+INDEX('Intermediate Sums'!$B$17:$AP$17, MATCH(TRUE, 'Intermediate Sums'!$B$16:$AP$16 &gt; D$19, 0))</f>
        <v>258.3333333</v>
      </c>
      <c r="E22" s="53">
        <f t="array" ref="E22">N22+INDEX('Intermediate Sums'!$B$17:$AP$17, MATCH(TRUE, 'Intermediate Sums'!$B$16:$AP$16 &gt; E$19, 0))</f>
        <v>383.3333333</v>
      </c>
      <c r="F22" s="53">
        <f t="array" ref="F22">O22+INDEX('Intermediate Sums'!$B$17:$AP$17, MATCH(TRUE, 'Intermediate Sums'!$B$16:$AP$16 &gt; F$19, 0))</f>
        <v>491.6666667</v>
      </c>
      <c r="G22" s="53">
        <f t="array" ref="G22">P22+INDEX('Intermediate Sums'!$B$17:$AP$17, MATCH(TRUE, 'Intermediate Sums'!$B$16:$AP$16 &gt; G$19, 0))</f>
        <v>541.6666667</v>
      </c>
      <c r="H22" s="53">
        <f t="array" ref="H22">Q22+INDEX('Intermediate Sums'!$B$17:$AP$17, MATCH(TRUE, 'Intermediate Sums'!$B$16:$AP$16 &gt; H$19, 0))</f>
        <v>650</v>
      </c>
      <c r="J22" s="1">
        <v>2.0</v>
      </c>
      <c r="K22" s="2">
        <f>if($J21&gt;=CEILING(100/'Intermediate Sums'!B$43,1), K21, if($J22&gt;=CEILING(100/'Intermediate Sums'!B$43,1), ($J22-1)*'Intermediate Sums'!$B$26, (CEILING('Intermediate Sums'!B58/'Intermediate Sums'!B$49,1)+$J22-1)*'Intermediate Sums'!$B$26))</f>
        <v>150</v>
      </c>
      <c r="L22" s="2">
        <f>if($J21&gt;=CEILING(100/'Intermediate Sums'!C$43,1), L21, if($J22&gt;=CEILING(100/'Intermediate Sums'!C$43,1), ($J22-1)*'Intermediate Sums'!$B$26, (CEILING((100-$J$22*'Intermediate Sums'!C$43)/'Intermediate Sums'!C$49,1)+$J22-1)*'Intermediate Sums'!$B$26))</f>
        <v>225</v>
      </c>
      <c r="M22" s="2">
        <f>if($J21&gt;=CEILING(100/'Intermediate Sums'!D$43,1), M21, if($J22&gt;=CEILING(100/'Intermediate Sums'!D$43,1), ($J22-1)*'Intermediate Sums'!$B$26, (CEILING((100-$J$22*'Intermediate Sums'!D$43)/'Intermediate Sums'!D$49,1)+$J22-1)*'Intermediate Sums'!$B$26))</f>
        <v>225</v>
      </c>
      <c r="N22" s="2">
        <f>if($J21&gt;=CEILING(100/'Intermediate Sums'!E$43,1), N21, if($J22&gt;=CEILING(100/'Intermediate Sums'!E$43,1), ($J22-1)*'Intermediate Sums'!$B$26, (CEILING((100-$J$22*'Intermediate Sums'!E$43)/'Intermediate Sums'!E$49,1)+$J22-1)*'Intermediate Sums'!$B$26))</f>
        <v>300</v>
      </c>
      <c r="O22" s="2">
        <f>if($J21&gt;=CEILING(100/'Intermediate Sums'!F$43,1), O21, if($J22&gt;=CEILING(100/'Intermediate Sums'!F$43,1), ($J22-1)*'Intermediate Sums'!$B$26, (CEILING((100-$J$22*'Intermediate Sums'!F$43)/'Intermediate Sums'!F$49,1)+$J22-1)*'Intermediate Sums'!$B$26))</f>
        <v>375</v>
      </c>
      <c r="P22" s="2">
        <f>if($J21&gt;=CEILING(100/'Intermediate Sums'!G$43,1), P21, if($J22&gt;=CEILING(100/'Intermediate Sums'!G$43,1), ($J22-1)*'Intermediate Sums'!$B$26, (CEILING((100-$J$22*'Intermediate Sums'!G$43)/'Intermediate Sums'!G$49,1)+$J22-1)*'Intermediate Sums'!$B$26))</f>
        <v>375</v>
      </c>
      <c r="Q22" s="2">
        <f>if($J21&gt;=CEILING(100/'Intermediate Sums'!H$43,1), Q21, if($J22&gt;=CEILING(100/'Intermediate Sums'!H$43,1), ($J22-1)*'Intermediate Sums'!$B$26, (CEILING((100-$J$22*'Intermediate Sums'!H$43)/'Intermediate Sums'!H$49,1)+$J22-1)*'Intermediate Sums'!$B$26))</f>
        <v>450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>
      <c r="A23" s="1">
        <v>3.0</v>
      </c>
      <c r="B23" s="2">
        <f t="shared" si="21"/>
        <v>150</v>
      </c>
      <c r="C23" s="53">
        <f t="array" ref="C23">L23+INDEX('Intermediate Sums'!$B$17:$AP$17, MATCH(TRUE, 'Intermediate Sums'!$B$16:$AP$16 &gt; C$19, 0))</f>
        <v>166.6666667</v>
      </c>
      <c r="D23" s="53">
        <f t="array" ref="D23">M23+INDEX('Intermediate Sums'!$B$17:$AP$17, MATCH(TRUE, 'Intermediate Sums'!$B$16:$AP$16 &gt; D$19, 0))</f>
        <v>183.3333333</v>
      </c>
      <c r="E23" s="53">
        <f t="array" ref="E23">N23+INDEX('Intermediate Sums'!$B$17:$AP$17, MATCH(TRUE, 'Intermediate Sums'!$B$16:$AP$16 &gt; E$19, 0))</f>
        <v>308.3333333</v>
      </c>
      <c r="F23" s="53">
        <f t="array" ref="F23">O23+INDEX('Intermediate Sums'!$B$17:$AP$17, MATCH(TRUE, 'Intermediate Sums'!$B$16:$AP$16 &gt; F$19, 0))</f>
        <v>416.6666667</v>
      </c>
      <c r="G23" s="53">
        <f t="array" ref="G23">P23+INDEX('Intermediate Sums'!$B$17:$AP$17, MATCH(TRUE, 'Intermediate Sums'!$B$16:$AP$16 &gt; G$19, 0))</f>
        <v>466.6666667</v>
      </c>
      <c r="H23" s="53">
        <f t="array" ref="H23">Q23+INDEX('Intermediate Sums'!$B$17:$AP$17, MATCH(TRUE, 'Intermediate Sums'!$B$16:$AP$16 &gt; H$19, 0))</f>
        <v>575</v>
      </c>
      <c r="J23" s="1">
        <v>3.0</v>
      </c>
      <c r="K23" s="2">
        <f>if($J22&gt;=CEILING(100/'Intermediate Sums'!B$43,1), K22, if($J23&gt;=CEILING(100/'Intermediate Sums'!B$43,1), ($J23-1)*'Intermediate Sums'!$B$26, (CEILING('Intermediate Sums'!B59/'Intermediate Sums'!B$49,1)+$J23-1)*'Intermediate Sums'!$B$26))</f>
        <v>150</v>
      </c>
      <c r="L23" s="2">
        <f>if($J22&gt;=CEILING(100/'Intermediate Sums'!C$43,1), L22, if($J23&gt;=CEILING(100/'Intermediate Sums'!C$43,1), ($J23-1)*'Intermediate Sums'!$B$26, (CEILING('Intermediate Sums'!C59/'Intermediate Sums'!C$49,1)+$J23-1)*'Intermediate Sums'!$B$26))</f>
        <v>150</v>
      </c>
      <c r="M23" s="2">
        <f>if($J22&gt;=CEILING(100/'Intermediate Sums'!D$43,1), M22, if($J23&gt;=CEILING(100/'Intermediate Sums'!D$43,1), ($J23-1)*'Intermediate Sums'!$B$26, (CEILING('Intermediate Sums'!D59/'Intermediate Sums'!D$49,1)+$J23-1)*'Intermediate Sums'!$B$26))</f>
        <v>150</v>
      </c>
      <c r="N23" s="2">
        <f>if($J22&gt;=CEILING(100/'Intermediate Sums'!E$43,1), N22, if($J23&gt;=CEILING(100/'Intermediate Sums'!E$43,1), ($J23-1)*'Intermediate Sums'!$B$26, (CEILING('Intermediate Sums'!E59/'Intermediate Sums'!E$49,1)+$J23-1)*'Intermediate Sums'!$B$26))</f>
        <v>225</v>
      </c>
      <c r="O23" s="2">
        <f>if($J22&gt;=CEILING(100/'Intermediate Sums'!F$43,1), O22, if($J23&gt;=CEILING(100/'Intermediate Sums'!F$43,1), ($J23-1)*'Intermediate Sums'!$B$26, (CEILING('Intermediate Sums'!F59/'Intermediate Sums'!F$49,1)+$J23-1)*'Intermediate Sums'!$B$26))</f>
        <v>300</v>
      </c>
      <c r="P23" s="2">
        <f>if($J22&gt;=CEILING(100/'Intermediate Sums'!G$43,1), P22, if($J23&gt;=CEILING(100/'Intermediate Sums'!G$43,1), ($J23-1)*'Intermediate Sums'!$B$26, (CEILING('Intermediate Sums'!G59/'Intermediate Sums'!G$49,1)+$J23-1)*'Intermediate Sums'!$B$26))</f>
        <v>300</v>
      </c>
      <c r="Q23" s="2">
        <f>if($J22&gt;=CEILING(100/'Intermediate Sums'!H$43,1), Q22, if($J23&gt;=CEILING(100/'Intermediate Sums'!H$43,1), ($J23-1)*'Intermediate Sums'!$B$26, (CEILING('Intermediate Sums'!H59/'Intermediate Sums'!H$49,1)+$J23-1)*'Intermediate Sums'!$B$26))</f>
        <v>375</v>
      </c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>
      <c r="A24" s="1">
        <v>4.0</v>
      </c>
      <c r="B24" s="2">
        <f t="shared" si="21"/>
        <v>150</v>
      </c>
      <c r="C24" s="53">
        <f t="array" ref="C24">L24+INDEX('Intermediate Sums'!$B$17:$AP$17, MATCH(TRUE, 'Intermediate Sums'!$B$16:$AP$16 &gt; C$19, 0))</f>
        <v>166.6666667</v>
      </c>
      <c r="D24" s="53">
        <f t="array" ref="D24">M24+INDEX('Intermediate Sums'!$B$17:$AP$17, MATCH(TRUE, 'Intermediate Sums'!$B$16:$AP$16 &gt; D$19, 0))</f>
        <v>183.3333333</v>
      </c>
      <c r="E24" s="53">
        <f t="array" ref="E24">N24+INDEX('Intermediate Sums'!$B$17:$AP$17, MATCH(TRUE, 'Intermediate Sums'!$B$16:$AP$16 &gt; E$19, 0))</f>
        <v>308.3333333</v>
      </c>
      <c r="F24" s="53">
        <f t="array" ref="F24">O24+INDEX('Intermediate Sums'!$B$17:$AP$17, MATCH(TRUE, 'Intermediate Sums'!$B$16:$AP$16 &gt; F$19, 0))</f>
        <v>416.6666667</v>
      </c>
      <c r="G24" s="53">
        <f t="array" ref="G24">P24+INDEX('Intermediate Sums'!$B$17:$AP$17, MATCH(TRUE, 'Intermediate Sums'!$B$16:$AP$16 &gt; G$19, 0))</f>
        <v>466.6666667</v>
      </c>
      <c r="H24" s="53">
        <f t="array" ref="H24">Q24+INDEX('Intermediate Sums'!$B$17:$AP$17, MATCH(TRUE, 'Intermediate Sums'!$B$16:$AP$16 &gt; H$19, 0))</f>
        <v>575</v>
      </c>
      <c r="J24" s="1">
        <v>4.0</v>
      </c>
      <c r="K24" s="2">
        <f>if($J23&gt;=CEILING(100/'Intermediate Sums'!B$43,1), K23, if($J24&gt;=CEILING(100/'Intermediate Sums'!B$43,1), ($J24-1)*'Intermediate Sums'!$B$26, (CEILING('Intermediate Sums'!B60/'Intermediate Sums'!B$49,1)+$J24-1)*'Intermediate Sums'!$B$26))</f>
        <v>150</v>
      </c>
      <c r="L24" s="2">
        <f>if($J23&gt;=CEILING(100/'Intermediate Sums'!C$43,1), L23, if($J24&gt;=CEILING(100/'Intermediate Sums'!C$43,1), ($J24-1)*'Intermediate Sums'!$B$26, (CEILING('Intermediate Sums'!C60/'Intermediate Sums'!C$49,1)+$J24-1)*'Intermediate Sums'!$B$26))</f>
        <v>150</v>
      </c>
      <c r="M24" s="2">
        <f>if($J23&gt;=CEILING(100/'Intermediate Sums'!D$43,1), M23, if($J24&gt;=CEILING(100/'Intermediate Sums'!D$43,1), ($J24-1)*'Intermediate Sums'!$B$26, (CEILING('Intermediate Sums'!D60/'Intermediate Sums'!D$49,1)+$J24-1)*'Intermediate Sums'!$B$26))</f>
        <v>150</v>
      </c>
      <c r="N24" s="2">
        <f>if($J23&gt;=CEILING(100/'Intermediate Sums'!E$43,1), N23, if($J24&gt;=CEILING(100/'Intermediate Sums'!E$43,1), ($J24-1)*'Intermediate Sums'!$B$26, (CEILING('Intermediate Sums'!E60/'Intermediate Sums'!E$49,1)+$J24-1)*'Intermediate Sums'!$B$26))</f>
        <v>225</v>
      </c>
      <c r="O24" s="2">
        <f>if($J23&gt;=CEILING(100/'Intermediate Sums'!F$43,1), O23, if($J24&gt;=CEILING(100/'Intermediate Sums'!F$43,1), ($J24-1)*'Intermediate Sums'!$B$26, (CEILING('Intermediate Sums'!F60/'Intermediate Sums'!F$49,1)+$J24-1)*'Intermediate Sums'!$B$26))</f>
        <v>300</v>
      </c>
      <c r="P24" s="2">
        <f>if($J23&gt;=CEILING(100/'Intermediate Sums'!G$43,1), P23, if($J24&gt;=CEILING(100/'Intermediate Sums'!G$43,1), ($J24-1)*'Intermediate Sums'!$B$26, (CEILING('Intermediate Sums'!G60/'Intermediate Sums'!G$49,1)+$J24-1)*'Intermediate Sums'!$B$26))</f>
        <v>300</v>
      </c>
      <c r="Q24" s="2">
        <f>if($J23&gt;=CEILING(100/'Intermediate Sums'!H$43,1), Q23, if($J24&gt;=CEILING(100/'Intermediate Sums'!H$43,1), ($J24-1)*'Intermediate Sums'!$B$26, (CEILING('Intermediate Sums'!H60/'Intermediate Sums'!H$49,1)+$J24-1)*'Intermediate Sums'!$B$26))</f>
        <v>375</v>
      </c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>
      <c r="A25" s="1">
        <v>5.0</v>
      </c>
      <c r="B25" s="2">
        <f t="shared" si="21"/>
        <v>150</v>
      </c>
      <c r="C25" s="53">
        <f t="array" ref="C25">L25+INDEX('Intermediate Sums'!$B$17:$AP$17, MATCH(TRUE, 'Intermediate Sums'!$B$16:$AP$16 &gt; C$19, 0))</f>
        <v>166.6666667</v>
      </c>
      <c r="D25" s="53">
        <f t="array" ref="D25">M25+INDEX('Intermediate Sums'!$B$17:$AP$17, MATCH(TRUE, 'Intermediate Sums'!$B$16:$AP$16 &gt; D$19, 0))</f>
        <v>183.3333333</v>
      </c>
      <c r="E25" s="53">
        <f t="array" ref="E25">N25+INDEX('Intermediate Sums'!$B$17:$AP$17, MATCH(TRUE, 'Intermediate Sums'!$B$16:$AP$16 &gt; E$19, 0))</f>
        <v>308.3333333</v>
      </c>
      <c r="F25" s="53">
        <f t="array" ref="F25">O25+INDEX('Intermediate Sums'!$B$17:$AP$17, MATCH(TRUE, 'Intermediate Sums'!$B$16:$AP$16 &gt; F$19, 0))</f>
        <v>416.6666667</v>
      </c>
      <c r="G25" s="53">
        <f t="array" ref="G25">P25+INDEX('Intermediate Sums'!$B$17:$AP$17, MATCH(TRUE, 'Intermediate Sums'!$B$16:$AP$16 &gt; G$19, 0))</f>
        <v>466.6666667</v>
      </c>
      <c r="H25" s="53">
        <f t="array" ref="H25">Q25+INDEX('Intermediate Sums'!$B$17:$AP$17, MATCH(TRUE, 'Intermediate Sums'!$B$16:$AP$16 &gt; H$19, 0))</f>
        <v>575</v>
      </c>
      <c r="J25" s="1">
        <v>5.0</v>
      </c>
      <c r="K25" s="2">
        <f>if($J24&gt;=CEILING(100/'Intermediate Sums'!B$43,1), K24, if($J25&gt;=CEILING(100/'Intermediate Sums'!B$43,1), ($J25-1)*'Intermediate Sums'!$B$26, (CEILING('Intermediate Sums'!B61/'Intermediate Sums'!B$49,1)+$J25-1)*'Intermediate Sums'!$B$26))</f>
        <v>150</v>
      </c>
      <c r="L25" s="2">
        <f>if($J24&gt;=CEILING(100/'Intermediate Sums'!C$43,1), L24, if($J25&gt;=CEILING(100/'Intermediate Sums'!C$43,1), ($J25-1)*'Intermediate Sums'!$B$26, (CEILING('Intermediate Sums'!C61/'Intermediate Sums'!C$49,1)+$J25-1)*'Intermediate Sums'!$B$26))</f>
        <v>150</v>
      </c>
      <c r="M25" s="2">
        <f>if($J24&gt;=CEILING(100/'Intermediate Sums'!D$43,1), M24, if($J25&gt;=CEILING(100/'Intermediate Sums'!D$43,1), ($J25-1)*'Intermediate Sums'!$B$26, (CEILING('Intermediate Sums'!D61/'Intermediate Sums'!D$49,1)+$J25-1)*'Intermediate Sums'!$B$26))</f>
        <v>150</v>
      </c>
      <c r="N25" s="2">
        <f>if($J24&gt;=CEILING(100/'Intermediate Sums'!E$43,1), N24, if($J25&gt;=CEILING(100/'Intermediate Sums'!E$43,1), ($J25-1)*'Intermediate Sums'!$B$26, (CEILING('Intermediate Sums'!E61/'Intermediate Sums'!E$49,1)+$J25-1)*'Intermediate Sums'!$B$26))</f>
        <v>225</v>
      </c>
      <c r="O25" s="2">
        <f>if($J24&gt;=CEILING(100/'Intermediate Sums'!F$43,1), O24, if($J25&gt;=CEILING(100/'Intermediate Sums'!F$43,1), ($J25-1)*'Intermediate Sums'!$B$26, (CEILING('Intermediate Sums'!F61/'Intermediate Sums'!F$49,1)+$J25-1)*'Intermediate Sums'!$B$26))</f>
        <v>300</v>
      </c>
      <c r="P25" s="2">
        <f>if($J24&gt;=CEILING(100/'Intermediate Sums'!G$43,1), P24, if($J25&gt;=CEILING(100/'Intermediate Sums'!G$43,1), ($J25-1)*'Intermediate Sums'!$B$26, (CEILING('Intermediate Sums'!G61/'Intermediate Sums'!G$49,1)+$J25-1)*'Intermediate Sums'!$B$26))</f>
        <v>300</v>
      </c>
      <c r="Q25" s="2">
        <f>if($J24&gt;=CEILING(100/'Intermediate Sums'!H$43,1), Q24, if($J25&gt;=CEILING(100/'Intermediate Sums'!H$43,1), ($J25-1)*'Intermediate Sums'!$B$26, (CEILING('Intermediate Sums'!H61/'Intermediate Sums'!H$49,1)+$J25-1)*'Intermediate Sums'!$B$26))</f>
        <v>375</v>
      </c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>
      <c r="A26" s="1">
        <v>6.0</v>
      </c>
      <c r="B26" s="2">
        <f t="shared" si="21"/>
        <v>150</v>
      </c>
      <c r="C26" s="53">
        <f t="array" ref="C26">L26+INDEX('Intermediate Sums'!$B$17:$AP$17, MATCH(TRUE, 'Intermediate Sums'!$B$16:$AP$16 &gt; C$19, 0))</f>
        <v>166.6666667</v>
      </c>
      <c r="D26" s="53">
        <f t="array" ref="D26">M26+INDEX('Intermediate Sums'!$B$17:$AP$17, MATCH(TRUE, 'Intermediate Sums'!$B$16:$AP$16 &gt; D$19, 0))</f>
        <v>183.3333333</v>
      </c>
      <c r="E26" s="53">
        <f t="array" ref="E26">N26+INDEX('Intermediate Sums'!$B$17:$AP$17, MATCH(TRUE, 'Intermediate Sums'!$B$16:$AP$16 &gt; E$19, 0))</f>
        <v>308.3333333</v>
      </c>
      <c r="F26" s="53">
        <f t="array" ref="F26">O26+INDEX('Intermediate Sums'!$B$17:$AP$17, MATCH(TRUE, 'Intermediate Sums'!$B$16:$AP$16 &gt; F$19, 0))</f>
        <v>416.6666667</v>
      </c>
      <c r="G26" s="53">
        <f t="array" ref="G26">P26+INDEX('Intermediate Sums'!$B$17:$AP$17, MATCH(TRUE, 'Intermediate Sums'!$B$16:$AP$16 &gt; G$19, 0))</f>
        <v>466.6666667</v>
      </c>
      <c r="H26" s="53">
        <f t="array" ref="H26">Q26+INDEX('Intermediate Sums'!$B$17:$AP$17, MATCH(TRUE, 'Intermediate Sums'!$B$16:$AP$16 &gt; H$19, 0))</f>
        <v>575</v>
      </c>
      <c r="J26" s="1">
        <v>6.0</v>
      </c>
      <c r="K26" s="2">
        <f>if($J25&gt;=CEILING(100/'Intermediate Sums'!B$43,1), K25, if($J26&gt;=CEILING(100/'Intermediate Sums'!B$43,1), ($J26-1)*'Intermediate Sums'!$B$26, (CEILING('Intermediate Sums'!B62/'Intermediate Sums'!B$49,1)+$J26-1)*'Intermediate Sums'!$B$26))</f>
        <v>150</v>
      </c>
      <c r="L26" s="2">
        <f>if($J25&gt;=CEILING(100/'Intermediate Sums'!C$43,1), L25, if($J26&gt;=CEILING(100/'Intermediate Sums'!C$43,1), ($J26-1)*'Intermediate Sums'!$B$26, (CEILING('Intermediate Sums'!C62/'Intermediate Sums'!C$49,1)+$J26-1)*'Intermediate Sums'!$B$26))</f>
        <v>150</v>
      </c>
      <c r="M26" s="2">
        <f>if($J25&gt;=CEILING(100/'Intermediate Sums'!D$43,1), M25, if($J26&gt;=CEILING(100/'Intermediate Sums'!D$43,1), ($J26-1)*'Intermediate Sums'!$B$26, (CEILING('Intermediate Sums'!D62/'Intermediate Sums'!D$49,1)+$J26-1)*'Intermediate Sums'!$B$26))</f>
        <v>150</v>
      </c>
      <c r="N26" s="2">
        <f>if($J25&gt;=CEILING(100/'Intermediate Sums'!E$43,1), N25, if($J26&gt;=CEILING(100/'Intermediate Sums'!E$43,1), ($J26-1)*'Intermediate Sums'!$B$26, (CEILING('Intermediate Sums'!E62/'Intermediate Sums'!E$49,1)+$J26-1)*'Intermediate Sums'!$B$26))</f>
        <v>225</v>
      </c>
      <c r="O26" s="2">
        <f>if($J25&gt;=CEILING(100/'Intermediate Sums'!F$43,1), O25, if($J26&gt;=CEILING(100/'Intermediate Sums'!F$43,1), ($J26-1)*'Intermediate Sums'!$B$26, (CEILING('Intermediate Sums'!F62/'Intermediate Sums'!F$49,1)+$J26-1)*'Intermediate Sums'!$B$26))</f>
        <v>300</v>
      </c>
      <c r="P26" s="2">
        <f>if($J25&gt;=CEILING(100/'Intermediate Sums'!G$43,1), P25, if($J26&gt;=CEILING(100/'Intermediate Sums'!G$43,1), ($J26-1)*'Intermediate Sums'!$B$26, (CEILING('Intermediate Sums'!G62/'Intermediate Sums'!G$49,1)+$J26-1)*'Intermediate Sums'!$B$26))</f>
        <v>300</v>
      </c>
      <c r="Q26" s="2">
        <f>if($J25&gt;=CEILING(100/'Intermediate Sums'!H$43,1), Q25, if($J26&gt;=CEILING(100/'Intermediate Sums'!H$43,1), ($J26-1)*'Intermediate Sums'!$B$26, (CEILING('Intermediate Sums'!H62/'Intermediate Sums'!H$49,1)+$J26-1)*'Intermediate Sums'!$B$26))</f>
        <v>375</v>
      </c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>
      <c r="A27" s="1">
        <v>7.0</v>
      </c>
      <c r="B27" s="2">
        <f t="shared" si="21"/>
        <v>150</v>
      </c>
      <c r="C27" s="53">
        <f t="array" ref="C27">L27+INDEX('Intermediate Sums'!$B$17:$AP$17, MATCH(TRUE, 'Intermediate Sums'!$B$16:$AP$16 &gt; C$19, 0))</f>
        <v>166.6666667</v>
      </c>
      <c r="D27" s="53">
        <f t="array" ref="D27">M27+INDEX('Intermediate Sums'!$B$17:$AP$17, MATCH(TRUE, 'Intermediate Sums'!$B$16:$AP$16 &gt; D$19, 0))</f>
        <v>183.3333333</v>
      </c>
      <c r="E27" s="53">
        <f t="array" ref="E27">N27+INDEX('Intermediate Sums'!$B$17:$AP$17, MATCH(TRUE, 'Intermediate Sums'!$B$16:$AP$16 &gt; E$19, 0))</f>
        <v>308.3333333</v>
      </c>
      <c r="F27" s="53">
        <f t="array" ref="F27">O27+INDEX('Intermediate Sums'!$B$17:$AP$17, MATCH(TRUE, 'Intermediate Sums'!$B$16:$AP$16 &gt; F$19, 0))</f>
        <v>416.6666667</v>
      </c>
      <c r="G27" s="53">
        <f t="array" ref="G27">P27+INDEX('Intermediate Sums'!$B$17:$AP$17, MATCH(TRUE, 'Intermediate Sums'!$B$16:$AP$16 &gt; G$19, 0))</f>
        <v>466.6666667</v>
      </c>
      <c r="H27" s="53">
        <f t="array" ref="H27">Q27+INDEX('Intermediate Sums'!$B$17:$AP$17, MATCH(TRUE, 'Intermediate Sums'!$B$16:$AP$16 &gt; H$19, 0))</f>
        <v>575</v>
      </c>
      <c r="J27" s="1">
        <v>7.0</v>
      </c>
      <c r="K27" s="2">
        <f>if($J26&gt;=CEILING(100/'Intermediate Sums'!B$43,1), K26, if($J27&gt;=CEILING(100/'Intermediate Sums'!B$43,1), ($J27-1)*'Intermediate Sums'!$B$26, (CEILING('Intermediate Sums'!B63/'Intermediate Sums'!B$49,1)+$J27-1)*'Intermediate Sums'!$B$26))</f>
        <v>150</v>
      </c>
      <c r="L27" s="2">
        <f>if($J26&gt;=CEILING(100/'Intermediate Sums'!C$43,1), L26, if($J27&gt;=CEILING(100/'Intermediate Sums'!C$43,1), ($J27-1)*'Intermediate Sums'!$B$26, (CEILING('Intermediate Sums'!C63/'Intermediate Sums'!C$49,1)+$J27-1)*'Intermediate Sums'!$B$26))</f>
        <v>150</v>
      </c>
      <c r="M27" s="2">
        <f>if($J26&gt;=CEILING(100/'Intermediate Sums'!D$43,1), M26, if($J27&gt;=CEILING(100/'Intermediate Sums'!D$43,1), ($J27-1)*'Intermediate Sums'!$B$26, (CEILING('Intermediate Sums'!D63/'Intermediate Sums'!D$49,1)+$J27-1)*'Intermediate Sums'!$B$26))</f>
        <v>150</v>
      </c>
      <c r="N27" s="2">
        <f>if($J26&gt;=CEILING(100/'Intermediate Sums'!E$43,1), N26, if($J27&gt;=CEILING(100/'Intermediate Sums'!E$43,1), ($J27-1)*'Intermediate Sums'!$B$26, (CEILING('Intermediate Sums'!E63/'Intermediate Sums'!E$49,1)+$J27-1)*'Intermediate Sums'!$B$26))</f>
        <v>225</v>
      </c>
      <c r="O27" s="2">
        <f>if($J26&gt;=CEILING(100/'Intermediate Sums'!F$43,1), O26, if($J27&gt;=CEILING(100/'Intermediate Sums'!F$43,1), ($J27-1)*'Intermediate Sums'!$B$26, (CEILING('Intermediate Sums'!F63/'Intermediate Sums'!F$49,1)+$J27-1)*'Intermediate Sums'!$B$26))</f>
        <v>300</v>
      </c>
      <c r="P27" s="2">
        <f>if($J26&gt;=CEILING(100/'Intermediate Sums'!G$43,1), P26, if($J27&gt;=CEILING(100/'Intermediate Sums'!G$43,1), ($J27-1)*'Intermediate Sums'!$B$26, (CEILING('Intermediate Sums'!G63/'Intermediate Sums'!G$49,1)+$J27-1)*'Intermediate Sums'!$B$26))</f>
        <v>300</v>
      </c>
      <c r="Q27" s="2">
        <f>if($J26&gt;=CEILING(100/'Intermediate Sums'!H$43,1), Q26, if($J27&gt;=CEILING(100/'Intermediate Sums'!H$43,1), ($J27-1)*'Intermediate Sums'!$B$26, (CEILING('Intermediate Sums'!H63/'Intermediate Sums'!H$49,1)+$J27-1)*'Intermediate Sums'!$B$26))</f>
        <v>375</v>
      </c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>
      <c r="A29" s="1" t="s">
        <v>73</v>
      </c>
      <c r="J29" s="1" t="s">
        <v>74</v>
      </c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>
      <c r="A30" s="1" t="s">
        <v>75</v>
      </c>
      <c r="B30" s="1">
        <v>0.0</v>
      </c>
      <c r="C30" s="1">
        <v>10.0</v>
      </c>
      <c r="D30" s="1">
        <v>20.0</v>
      </c>
      <c r="E30" s="1">
        <v>35.0</v>
      </c>
      <c r="F30" s="1">
        <v>50.0</v>
      </c>
      <c r="G30" s="1">
        <v>70.0</v>
      </c>
      <c r="H30" s="1">
        <v>80.0</v>
      </c>
      <c r="J30" s="1" t="s">
        <v>75</v>
      </c>
      <c r="K30" s="1">
        <v>0.0</v>
      </c>
      <c r="L30" s="1">
        <v>10.0</v>
      </c>
      <c r="M30" s="1">
        <v>20.0</v>
      </c>
      <c r="N30" s="1">
        <v>35.0</v>
      </c>
      <c r="O30" s="1">
        <v>50.0</v>
      </c>
      <c r="P30" s="1">
        <v>70.0</v>
      </c>
      <c r="Q30" s="1">
        <v>80.0</v>
      </c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>
      <c r="A31" s="1">
        <v>0.0</v>
      </c>
      <c r="B31" s="2">
        <f t="shared" ref="B31:B38" si="22">K31+0</f>
        <v>350.1945525</v>
      </c>
      <c r="C31" s="53">
        <f t="array" ref="C31">L31+INDEX('Intermediate Sums'!$B$23:$AP$23, MATCH(TRUE, 'Intermediate Sums'!$B$22:$AP$22 &gt; C$30, 0))</f>
        <v>350.1945525</v>
      </c>
      <c r="D31" s="53">
        <f t="array" ref="D31">M31+INDEX('Intermediate Sums'!$B$23:$AP$23, MATCH(TRUE, 'Intermediate Sums'!$B$22:$AP$22 &gt; D$30, 0))</f>
        <v>366.8612192</v>
      </c>
      <c r="E31" s="53">
        <f t="array" ref="E31">N31+INDEX('Intermediate Sums'!$B$23:$AP$23, MATCH(TRUE, 'Intermediate Sums'!$B$22:$AP$22 &gt; E$30, 0))</f>
        <v>500.2594034</v>
      </c>
      <c r="F31" s="53">
        <f t="array" ref="F31">O31+INDEX('Intermediate Sums'!$B$23:$AP$23, MATCH(TRUE, 'Intermediate Sums'!$B$22:$AP$22 &gt; F$30, 0))</f>
        <v>500.2594034</v>
      </c>
      <c r="G31" s="53">
        <f t="array" ref="G31">P31+INDEX('Intermediate Sums'!$B$23:$AP$23, MATCH(TRUE, 'Intermediate Sums'!$B$22:$AP$22 &gt; G$30, 0))</f>
        <v>533.5927367</v>
      </c>
      <c r="H31" s="53">
        <f t="array" ref="H31">Q31+INDEX('Intermediate Sums'!$B$23:$AP$23, MATCH(TRUE, 'Intermediate Sums'!$B$22:$AP$22 &gt; H$30, 0))</f>
        <v>650.3242542</v>
      </c>
      <c r="J31" s="1">
        <v>0.0</v>
      </c>
      <c r="K31" s="2">
        <f>if($J31&gt;=CEILING(100/'Intermediate Sums'!B$46,1), ($J31-1)*'Intermediate Sums'!$B$27, (CEILING('Intermediate Sums'!B67/'Intermediate Sums'!B$52,1)+$J31-1)*'Intermediate Sums'!$B$27)</f>
        <v>350.1945525</v>
      </c>
      <c r="L31" s="2">
        <f>if($J31&gt;=CEILING(100/'Intermediate Sums'!C$46,1), ($J31-1)*'Intermediate Sums'!$B$27, (CEILING('Intermediate Sums'!C67/'Intermediate Sums'!C$52,1)+$J31-1)*'Intermediate Sums'!$B$27)</f>
        <v>350.1945525</v>
      </c>
      <c r="M31" s="2">
        <f>if($J31&gt;=CEILING(100/'Intermediate Sums'!D$46,1), ($J31-1)*'Intermediate Sums'!$B$27, (CEILING('Intermediate Sums'!D67/'Intermediate Sums'!D$52,1)+$J31-1)*'Intermediate Sums'!$B$27)</f>
        <v>350.1945525</v>
      </c>
      <c r="N31" s="2">
        <f>if($J31&gt;=CEILING(100/'Intermediate Sums'!E$46,1), ($J31-1)*'Intermediate Sums'!$B$27, (CEILING('Intermediate Sums'!E67/'Intermediate Sums'!E$52,1)+$J31-1)*'Intermediate Sums'!$B$27)</f>
        <v>466.92607</v>
      </c>
      <c r="O31" s="2">
        <f>if($J31&gt;=CEILING(100/'Intermediate Sums'!F$46,1), ($J31-1)*'Intermediate Sums'!$B$27, (CEILING('Intermediate Sums'!F67/'Intermediate Sums'!F$52,1)+$J31-1)*'Intermediate Sums'!$B$27)</f>
        <v>466.92607</v>
      </c>
      <c r="P31" s="2">
        <f>if($J31&gt;=CEILING(100/'Intermediate Sums'!G$46,1), ($J31-1)*'Intermediate Sums'!$B$27, (CEILING('Intermediate Sums'!G67/'Intermediate Sums'!G$52,1)+$J31-1)*'Intermediate Sums'!$B$27)</f>
        <v>466.92607</v>
      </c>
      <c r="Q31" s="2">
        <f>if($J31&gt;=CEILING(100/'Intermediate Sums'!H$46,1), ($J31-1)*'Intermediate Sums'!$B$27, (CEILING('Intermediate Sums'!H67/'Intermediate Sums'!H$52,1)+$J31-1)*'Intermediate Sums'!$B$27)</f>
        <v>583.6575875</v>
      </c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>
      <c r="A32" s="1">
        <v>1.0</v>
      </c>
      <c r="B32" s="2">
        <f t="shared" si="22"/>
        <v>350.1945525</v>
      </c>
      <c r="C32" s="53">
        <f t="array" ref="C32">L32+INDEX('Intermediate Sums'!$B$23:$AP$23, MATCH(TRUE, 'Intermediate Sums'!$B$22:$AP$22 &gt; C$30, 0))</f>
        <v>350.1945525</v>
      </c>
      <c r="D32" s="53">
        <f t="array" ref="D32">M32+INDEX('Intermediate Sums'!$B$23:$AP$23, MATCH(TRUE, 'Intermediate Sums'!$B$22:$AP$22 &gt; D$30, 0))</f>
        <v>366.8612192</v>
      </c>
      <c r="E32" s="53">
        <f t="array" ref="E32">N32+INDEX('Intermediate Sums'!$B$23:$AP$23, MATCH(TRUE, 'Intermediate Sums'!$B$22:$AP$22 &gt; E$30, 0))</f>
        <v>500.2594034</v>
      </c>
      <c r="F32" s="53">
        <f t="array" ref="F32">O32+INDEX('Intermediate Sums'!$B$23:$AP$23, MATCH(TRUE, 'Intermediate Sums'!$B$22:$AP$22 &gt; F$30, 0))</f>
        <v>500.2594034</v>
      </c>
      <c r="G32" s="53">
        <f t="array" ref="G32">P32+INDEX('Intermediate Sums'!$B$23:$AP$23, MATCH(TRUE, 'Intermediate Sums'!$B$22:$AP$22 &gt; G$30, 0))</f>
        <v>533.5927367</v>
      </c>
      <c r="H32" s="53">
        <f t="array" ref="H32">Q32+INDEX('Intermediate Sums'!$B$23:$AP$23, MATCH(TRUE, 'Intermediate Sums'!$B$22:$AP$22 &gt; H$30, 0))</f>
        <v>650.3242542</v>
      </c>
      <c r="J32" s="1">
        <v>1.0</v>
      </c>
      <c r="K32" s="2">
        <f>if($J31&gt;=CEILING(100/'Intermediate Sums'!B$46,1), K31, if($J32&gt;=CEILING(100/'Intermediate Sums'!B$46,1), ($J32-1)*'Intermediate Sums'!$B$27, (CEILING('Intermediate Sums'!B68/'Intermediate Sums'!B$52,1)+$J32-1)*'Intermediate Sums'!$B$27))</f>
        <v>350.1945525</v>
      </c>
      <c r="L32" s="2">
        <f>if($J31&gt;=CEILING(100/'Intermediate Sums'!C$46,1), L31, if($J32&gt;=CEILING(100/'Intermediate Sums'!C$46,1), ($J32-1)*'Intermediate Sums'!$B$27, (CEILING('Intermediate Sums'!C68/'Intermediate Sums'!C$52,1)+$J32-1)*'Intermediate Sums'!$B$27))</f>
        <v>350.1945525</v>
      </c>
      <c r="M32" s="2">
        <f>if($J31&gt;=CEILING(100/'Intermediate Sums'!D$46,1), M31, if($J32&gt;=CEILING(100/'Intermediate Sums'!D$46,1), ($J32-1)*'Intermediate Sums'!$B$27, (CEILING('Intermediate Sums'!D68/'Intermediate Sums'!D$52,1)+$J32-1)*'Intermediate Sums'!$B$27))</f>
        <v>350.1945525</v>
      </c>
      <c r="N32" s="2">
        <f>if($J31&gt;=CEILING(100/'Intermediate Sums'!E$46,1), N31, if($J32&gt;=CEILING(100/'Intermediate Sums'!E$46,1), ($J32-1)*'Intermediate Sums'!$B$27, (CEILING('Intermediate Sums'!E68/'Intermediate Sums'!E$52,1)+$J32-1)*'Intermediate Sums'!$B$27))</f>
        <v>466.92607</v>
      </c>
      <c r="O32" s="2">
        <f>if($J31&gt;=CEILING(100/'Intermediate Sums'!F$46,1), O31, if($J32&gt;=CEILING(100/'Intermediate Sums'!F$46,1), ($J32-1)*'Intermediate Sums'!$B$27, (CEILING('Intermediate Sums'!F68/'Intermediate Sums'!F$52,1)+$J32-1)*'Intermediate Sums'!$B$27))</f>
        <v>466.92607</v>
      </c>
      <c r="P32" s="2">
        <f>if($J31&gt;=CEILING(100/'Intermediate Sums'!G$46,1), P31, if($J32&gt;=CEILING(100/'Intermediate Sums'!G$46,1), ($J32-1)*'Intermediate Sums'!$B$27, (CEILING('Intermediate Sums'!G68/'Intermediate Sums'!G$52,1)+$J32-1)*'Intermediate Sums'!$B$27))</f>
        <v>466.92607</v>
      </c>
      <c r="Q32" s="2">
        <f>if($J31&gt;=CEILING(100/'Intermediate Sums'!H$46,1), Q31, if($J32&gt;=CEILING(100/'Intermediate Sums'!H$46,1), ($J32-1)*'Intermediate Sums'!$B$27, (CEILING('Intermediate Sums'!H68/'Intermediate Sums'!H$52,1)+$J32-1)*'Intermediate Sums'!$B$27))</f>
        <v>583.6575875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>
      <c r="A33" s="1">
        <v>2.0</v>
      </c>
      <c r="B33" s="2">
        <f t="shared" si="22"/>
        <v>350.1945525</v>
      </c>
      <c r="C33" s="53">
        <f t="array" ref="C33">L33+INDEX('Intermediate Sums'!$B$23:$AP$23, MATCH(TRUE, 'Intermediate Sums'!$B$22:$AP$22 &gt; C$30, 0))</f>
        <v>350.1945525</v>
      </c>
      <c r="D33" s="53">
        <f t="array" ref="D33">M33+INDEX('Intermediate Sums'!$B$23:$AP$23, MATCH(TRUE, 'Intermediate Sums'!$B$22:$AP$22 &gt; D$30, 0))</f>
        <v>366.8612192</v>
      </c>
      <c r="E33" s="53">
        <f t="array" ref="E33">N33+INDEX('Intermediate Sums'!$B$23:$AP$23, MATCH(TRUE, 'Intermediate Sums'!$B$22:$AP$22 &gt; E$30, 0))</f>
        <v>500.2594034</v>
      </c>
      <c r="F33" s="53">
        <f t="array" ref="F33">O33+INDEX('Intermediate Sums'!$B$23:$AP$23, MATCH(TRUE, 'Intermediate Sums'!$B$22:$AP$22 &gt; F$30, 0))</f>
        <v>500.2594034</v>
      </c>
      <c r="G33" s="53">
        <f t="array" ref="G33">P33+INDEX('Intermediate Sums'!$B$23:$AP$23, MATCH(TRUE, 'Intermediate Sums'!$B$22:$AP$22 &gt; G$30, 0))</f>
        <v>533.5927367</v>
      </c>
      <c r="H33" s="53">
        <f t="array" ref="H33">Q33+INDEX('Intermediate Sums'!$B$23:$AP$23, MATCH(TRUE, 'Intermediate Sums'!$B$22:$AP$22 &gt; H$30, 0))</f>
        <v>650.3242542</v>
      </c>
      <c r="J33" s="1">
        <v>2.0</v>
      </c>
      <c r="K33" s="2">
        <f>if($J32&gt;=CEILING(100/'Intermediate Sums'!B$46,1), K32, if($J33&gt;=CEILING(100/'Intermediate Sums'!B$46,1), ($J33-1)*'Intermediate Sums'!$B$27, (CEILING('Intermediate Sums'!B69/'Intermediate Sums'!B$52,1)+$J33-1)*'Intermediate Sums'!$B$27))</f>
        <v>350.1945525</v>
      </c>
      <c r="L33" s="2">
        <f>if($J32&gt;=CEILING(100/'Intermediate Sums'!C$46,1), L32, if($J33&gt;=CEILING(100/'Intermediate Sums'!C$46,1), ($J33-1)*'Intermediate Sums'!$B$27, (CEILING('Intermediate Sums'!C69/'Intermediate Sums'!C$52,1)+$J33-1)*'Intermediate Sums'!$B$27))</f>
        <v>350.1945525</v>
      </c>
      <c r="M33" s="2">
        <f>if($J32&gt;=CEILING(100/'Intermediate Sums'!D$46,1), M32, if($J33&gt;=CEILING(100/'Intermediate Sums'!D$46,1), ($J33-1)*'Intermediate Sums'!$B$27, (CEILING('Intermediate Sums'!D69/'Intermediate Sums'!D$52,1)+$J33-1)*'Intermediate Sums'!$B$27))</f>
        <v>350.1945525</v>
      </c>
      <c r="N33" s="2">
        <f>if($J32&gt;=CEILING(100/'Intermediate Sums'!E$46,1), N32, if($J33&gt;=CEILING(100/'Intermediate Sums'!E$46,1), ($J33-1)*'Intermediate Sums'!$B$27, (CEILING('Intermediate Sums'!E69/'Intermediate Sums'!E$52,1)+$J33-1)*'Intermediate Sums'!$B$27))</f>
        <v>466.92607</v>
      </c>
      <c r="O33" s="2">
        <f>if($J32&gt;=CEILING(100/'Intermediate Sums'!F$46,1), O32, if($J33&gt;=CEILING(100/'Intermediate Sums'!F$46,1), ($J33-1)*'Intermediate Sums'!$B$27, (CEILING('Intermediate Sums'!F69/'Intermediate Sums'!F$52,1)+$J33-1)*'Intermediate Sums'!$B$27))</f>
        <v>466.92607</v>
      </c>
      <c r="P33" s="2">
        <f>if($J32&gt;=CEILING(100/'Intermediate Sums'!G$46,1), P32, if($J33&gt;=CEILING(100/'Intermediate Sums'!G$46,1), ($J33-1)*'Intermediate Sums'!$B$27, (CEILING('Intermediate Sums'!G69/'Intermediate Sums'!G$52,1)+$J33-1)*'Intermediate Sums'!$B$27))</f>
        <v>466.92607</v>
      </c>
      <c r="Q33" s="2">
        <f>if($J32&gt;=CEILING(100/'Intermediate Sums'!H$46,1), Q32, if($J33&gt;=CEILING(100/'Intermediate Sums'!H$46,1), ($J33-1)*'Intermediate Sums'!$B$27, (CEILING('Intermediate Sums'!H69/'Intermediate Sums'!H$52,1)+$J33-1)*'Intermediate Sums'!$B$27))</f>
        <v>583.6575875</v>
      </c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>
      <c r="A34" s="1">
        <v>3.0</v>
      </c>
      <c r="B34" s="2">
        <f t="shared" si="22"/>
        <v>233.463035</v>
      </c>
      <c r="C34" s="53">
        <f t="array" ref="C34">L34+INDEX('Intermediate Sums'!$B$23:$AP$23, MATCH(TRUE, 'Intermediate Sums'!$B$22:$AP$22 &gt; C$30, 0))</f>
        <v>233.463035</v>
      </c>
      <c r="D34" s="53">
        <f t="array" ref="D34">M34+INDEX('Intermediate Sums'!$B$23:$AP$23, MATCH(TRUE, 'Intermediate Sums'!$B$22:$AP$22 &gt; D$30, 0))</f>
        <v>250.1297017</v>
      </c>
      <c r="E34" s="53">
        <f t="array" ref="E34">N34+INDEX('Intermediate Sums'!$B$23:$AP$23, MATCH(TRUE, 'Intermediate Sums'!$B$22:$AP$22 &gt; E$30, 0))</f>
        <v>383.5278859</v>
      </c>
      <c r="F34" s="53">
        <f t="array" ref="F34">O34+INDEX('Intermediate Sums'!$B$23:$AP$23, MATCH(TRUE, 'Intermediate Sums'!$B$22:$AP$22 &gt; F$30, 0))</f>
        <v>383.5278859</v>
      </c>
      <c r="G34" s="53">
        <f t="array" ref="G34">P34+INDEX('Intermediate Sums'!$B$23:$AP$23, MATCH(TRUE, 'Intermediate Sums'!$B$22:$AP$22 &gt; G$30, 0))</f>
        <v>416.8612192</v>
      </c>
      <c r="H34" s="53">
        <f t="array" ref="H34">Q34+INDEX('Intermediate Sums'!$B$23:$AP$23, MATCH(TRUE, 'Intermediate Sums'!$B$22:$AP$22 &gt; H$30, 0))</f>
        <v>533.5927367</v>
      </c>
      <c r="J34" s="1">
        <v>3.0</v>
      </c>
      <c r="K34" s="2">
        <f>if($J33&gt;=CEILING(100/'Intermediate Sums'!B$46,1), K33, if($J34&gt;=CEILING(100/'Intermediate Sums'!B$46,1), ($J34-1)*'Intermediate Sums'!$B$27, (CEILING('Intermediate Sums'!B70/'Intermediate Sums'!B$52,1)+$J34-1)*'Intermediate Sums'!$B$27))</f>
        <v>233.463035</v>
      </c>
      <c r="L34" s="2">
        <f>if($J33&gt;=CEILING(100/'Intermediate Sums'!C$46,1), L33, if($J34&gt;=CEILING(100/'Intermediate Sums'!C$46,1), ($J34-1)*'Intermediate Sums'!$B$27, (CEILING('Intermediate Sums'!C70/'Intermediate Sums'!C$52,1)+$J34-1)*'Intermediate Sums'!$B$27))</f>
        <v>233.463035</v>
      </c>
      <c r="M34" s="2">
        <f>if($J33&gt;=CEILING(100/'Intermediate Sums'!D$46,1), M33, if($J34&gt;=CEILING(100/'Intermediate Sums'!D$46,1), ($J34-1)*'Intermediate Sums'!$B$27, (CEILING('Intermediate Sums'!D70/'Intermediate Sums'!D$52,1)+$J34-1)*'Intermediate Sums'!$B$27))</f>
        <v>233.463035</v>
      </c>
      <c r="N34" s="2">
        <f>if($J33&gt;=CEILING(100/'Intermediate Sums'!E$46,1), N33, if($J34&gt;=CEILING(100/'Intermediate Sums'!E$46,1), ($J34-1)*'Intermediate Sums'!$B$27, (CEILING('Intermediate Sums'!E70/'Intermediate Sums'!E$52,1)+$J34-1)*'Intermediate Sums'!$B$27))</f>
        <v>350.1945525</v>
      </c>
      <c r="O34" s="2">
        <f>if($J33&gt;=CEILING(100/'Intermediate Sums'!F$46,1), O33, if($J34&gt;=CEILING(100/'Intermediate Sums'!F$46,1), ($J34-1)*'Intermediate Sums'!$B$27, (CEILING('Intermediate Sums'!F70/'Intermediate Sums'!F$52,1)+$J34-1)*'Intermediate Sums'!$B$27))</f>
        <v>350.1945525</v>
      </c>
      <c r="P34" s="2">
        <f>if($J33&gt;=CEILING(100/'Intermediate Sums'!G$46,1), P33, if($J34&gt;=CEILING(100/'Intermediate Sums'!G$46,1), ($J34-1)*'Intermediate Sums'!$B$27, (CEILING('Intermediate Sums'!G70/'Intermediate Sums'!G$52,1)+$J34-1)*'Intermediate Sums'!$B$27))</f>
        <v>350.1945525</v>
      </c>
      <c r="Q34" s="2">
        <f>if($J33&gt;=CEILING(100/'Intermediate Sums'!H$46,1), Q33, if($J34&gt;=CEILING(100/'Intermediate Sums'!H$46,1), ($J34-1)*'Intermediate Sums'!$B$27, (CEILING('Intermediate Sums'!H70/'Intermediate Sums'!H$52,1)+$J34-1)*'Intermediate Sums'!$B$27))</f>
        <v>466.92607</v>
      </c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>
      <c r="A35" s="1">
        <v>4.0</v>
      </c>
      <c r="B35" s="2">
        <f t="shared" si="22"/>
        <v>233.463035</v>
      </c>
      <c r="C35" s="53">
        <f t="array" ref="C35">L35+INDEX('Intermediate Sums'!$B$23:$AP$23, MATCH(TRUE, 'Intermediate Sums'!$B$22:$AP$22 &gt; C$30, 0))</f>
        <v>233.463035</v>
      </c>
      <c r="D35" s="53">
        <f t="array" ref="D35">M35+INDEX('Intermediate Sums'!$B$23:$AP$23, MATCH(TRUE, 'Intermediate Sums'!$B$22:$AP$22 &gt; D$30, 0))</f>
        <v>250.1297017</v>
      </c>
      <c r="E35" s="53">
        <f t="array" ref="E35">N35+INDEX('Intermediate Sums'!$B$23:$AP$23, MATCH(TRUE, 'Intermediate Sums'!$B$22:$AP$22 &gt; E$30, 0))</f>
        <v>383.5278859</v>
      </c>
      <c r="F35" s="53">
        <f t="array" ref="F35">O35+INDEX('Intermediate Sums'!$B$23:$AP$23, MATCH(TRUE, 'Intermediate Sums'!$B$22:$AP$22 &gt; F$30, 0))</f>
        <v>383.5278859</v>
      </c>
      <c r="G35" s="53">
        <f t="array" ref="G35">P35+INDEX('Intermediate Sums'!$B$23:$AP$23, MATCH(TRUE, 'Intermediate Sums'!$B$22:$AP$22 &gt; G$30, 0))</f>
        <v>416.8612192</v>
      </c>
      <c r="H35" s="53">
        <f t="array" ref="H35">Q35+INDEX('Intermediate Sums'!$B$23:$AP$23, MATCH(TRUE, 'Intermediate Sums'!$B$22:$AP$22 &gt; H$30, 0))</f>
        <v>533.5927367</v>
      </c>
      <c r="J35" s="1">
        <v>4.0</v>
      </c>
      <c r="K35" s="2">
        <f>if($J34&gt;=CEILING(100/'Intermediate Sums'!B$46,1), K34, if($J35&gt;=CEILING(100/'Intermediate Sums'!B$46,1), ($J35-1)*'Intermediate Sums'!$B$27, (CEILING('Intermediate Sums'!B71/'Intermediate Sums'!B$52,1)+$J35-1)*'Intermediate Sums'!$B$27))</f>
        <v>233.463035</v>
      </c>
      <c r="L35" s="2">
        <f>if($J34&gt;=CEILING(100/'Intermediate Sums'!C$46,1), L34, if($J35&gt;=CEILING(100/'Intermediate Sums'!C$46,1), ($J35-1)*'Intermediate Sums'!$B$27, (CEILING('Intermediate Sums'!C71/'Intermediate Sums'!C$52,1)+$J35-1)*'Intermediate Sums'!$B$27))</f>
        <v>233.463035</v>
      </c>
      <c r="M35" s="2">
        <f>if($J34&gt;=CEILING(100/'Intermediate Sums'!D$46,1), M34, if($J35&gt;=CEILING(100/'Intermediate Sums'!D$46,1), ($J35-1)*'Intermediate Sums'!$B$27, (CEILING('Intermediate Sums'!D71/'Intermediate Sums'!D$52,1)+$J35-1)*'Intermediate Sums'!$B$27))</f>
        <v>233.463035</v>
      </c>
      <c r="N35" s="2">
        <f>if($J34&gt;=CEILING(100/'Intermediate Sums'!E$46,1), N34, if($J35&gt;=CEILING(100/'Intermediate Sums'!E$46,1), ($J35-1)*'Intermediate Sums'!$B$27, (CEILING('Intermediate Sums'!E71/'Intermediate Sums'!E$52,1)+$J35-1)*'Intermediate Sums'!$B$27))</f>
        <v>350.1945525</v>
      </c>
      <c r="O35" s="2">
        <f>if($J34&gt;=CEILING(100/'Intermediate Sums'!F$46,1), O34, if($J35&gt;=CEILING(100/'Intermediate Sums'!F$46,1), ($J35-1)*'Intermediate Sums'!$B$27, (CEILING('Intermediate Sums'!F71/'Intermediate Sums'!F$52,1)+$J35-1)*'Intermediate Sums'!$B$27))</f>
        <v>350.1945525</v>
      </c>
      <c r="P35" s="2">
        <f>if($J34&gt;=CEILING(100/'Intermediate Sums'!G$46,1), P34, if($J35&gt;=CEILING(100/'Intermediate Sums'!G$46,1), ($J35-1)*'Intermediate Sums'!$B$27, (CEILING('Intermediate Sums'!G71/'Intermediate Sums'!G$52,1)+$J35-1)*'Intermediate Sums'!$B$27))</f>
        <v>350.1945525</v>
      </c>
      <c r="Q35" s="2">
        <f>if($J34&gt;=CEILING(100/'Intermediate Sums'!H$46,1), Q34, if($J35&gt;=CEILING(100/'Intermediate Sums'!H$46,1), ($J35-1)*'Intermediate Sums'!$B$27, (CEILING('Intermediate Sums'!H71/'Intermediate Sums'!H$52,1)+$J35-1)*'Intermediate Sums'!$B$27))</f>
        <v>466.92607</v>
      </c>
      <c r="X35" s="1" t="str">
        <f>Data!X8</f>
        <v/>
      </c>
      <c r="Y35" s="1" t="str">
        <f>Data!Y8</f>
        <v/>
      </c>
      <c r="Z35" s="1" t="str">
        <f>Data!Z8</f>
        <v/>
      </c>
      <c r="AA35" s="1" t="str">
        <f>Data!AA8</f>
        <v/>
      </c>
      <c r="AB35" s="1" t="str">
        <f>Data!AB8</f>
        <v/>
      </c>
      <c r="AC35" s="1" t="str">
        <f>Data!AC8</f>
        <v/>
      </c>
      <c r="AD35" s="1" t="str">
        <f>Data!AD8</f>
        <v/>
      </c>
      <c r="AE35" s="1" t="str">
        <f>Data!AE8</f>
        <v/>
      </c>
      <c r="AF35" s="1" t="str">
        <f>Data!AF8</f>
        <v/>
      </c>
      <c r="AG35" s="1" t="str">
        <f>Data!AG8</f>
        <v/>
      </c>
      <c r="AH35" s="1" t="str">
        <f>Data!AH8</f>
        <v/>
      </c>
      <c r="AI35" s="1"/>
      <c r="AJ35" s="1"/>
      <c r="AK35" s="1"/>
      <c r="AL35" s="1"/>
      <c r="AM35" s="1"/>
      <c r="AN35" s="1"/>
      <c r="AO35" s="1"/>
      <c r="AP35" s="1"/>
    </row>
    <row r="36">
      <c r="A36" s="1">
        <v>5.0</v>
      </c>
      <c r="B36" s="2">
        <f t="shared" si="22"/>
        <v>233.463035</v>
      </c>
      <c r="C36" s="53">
        <f t="array" ref="C36">L36+INDEX('Intermediate Sums'!$B$23:$AP$23, MATCH(TRUE, 'Intermediate Sums'!$B$22:$AP$22 &gt; C$30, 0))</f>
        <v>233.463035</v>
      </c>
      <c r="D36" s="53">
        <f t="array" ref="D36">M36+INDEX('Intermediate Sums'!$B$23:$AP$23, MATCH(TRUE, 'Intermediate Sums'!$B$22:$AP$22 &gt; D$30, 0))</f>
        <v>250.1297017</v>
      </c>
      <c r="E36" s="53">
        <f t="array" ref="E36">N36+INDEX('Intermediate Sums'!$B$23:$AP$23, MATCH(TRUE, 'Intermediate Sums'!$B$22:$AP$22 &gt; E$30, 0))</f>
        <v>383.5278859</v>
      </c>
      <c r="F36" s="53">
        <f t="array" ref="F36">O36+INDEX('Intermediate Sums'!$B$23:$AP$23, MATCH(TRUE, 'Intermediate Sums'!$B$22:$AP$22 &gt; F$30, 0))</f>
        <v>383.5278859</v>
      </c>
      <c r="G36" s="53">
        <f t="array" ref="G36">P36+INDEX('Intermediate Sums'!$B$23:$AP$23, MATCH(TRUE, 'Intermediate Sums'!$B$22:$AP$22 &gt; G$30, 0))</f>
        <v>416.8612192</v>
      </c>
      <c r="H36" s="53">
        <f t="array" ref="H36">Q36+INDEX('Intermediate Sums'!$B$23:$AP$23, MATCH(TRUE, 'Intermediate Sums'!$B$22:$AP$22 &gt; H$30, 0))</f>
        <v>533.5927367</v>
      </c>
      <c r="J36" s="1">
        <v>5.0</v>
      </c>
      <c r="K36" s="2">
        <f>if($J35&gt;=CEILING(100/'Intermediate Sums'!B$46,1), K35, if($J36&gt;=CEILING(100/'Intermediate Sums'!B$46,1), ($J36-1)*'Intermediate Sums'!$B$27, (CEILING('Intermediate Sums'!B72/'Intermediate Sums'!B$52,1)+$J36-1)*'Intermediate Sums'!$B$27))</f>
        <v>233.463035</v>
      </c>
      <c r="L36" s="2">
        <f>if($J35&gt;=CEILING(100/'Intermediate Sums'!C$46,1), L35, if($J36&gt;=CEILING(100/'Intermediate Sums'!C$46,1), ($J36-1)*'Intermediate Sums'!$B$27, (CEILING('Intermediate Sums'!C72/'Intermediate Sums'!C$52,1)+$J36-1)*'Intermediate Sums'!$B$27))</f>
        <v>233.463035</v>
      </c>
      <c r="M36" s="2">
        <f>if($J35&gt;=CEILING(100/'Intermediate Sums'!D$46,1), M35, if($J36&gt;=CEILING(100/'Intermediate Sums'!D$46,1), ($J36-1)*'Intermediate Sums'!$B$27, (CEILING('Intermediate Sums'!D72/'Intermediate Sums'!D$52,1)+$J36-1)*'Intermediate Sums'!$B$27))</f>
        <v>233.463035</v>
      </c>
      <c r="N36" s="2">
        <f>if($J35&gt;=CEILING(100/'Intermediate Sums'!E$46,1), N35, if($J36&gt;=CEILING(100/'Intermediate Sums'!E$46,1), ($J36-1)*'Intermediate Sums'!$B$27, (CEILING('Intermediate Sums'!E72/'Intermediate Sums'!E$52,1)+$J36-1)*'Intermediate Sums'!$B$27))</f>
        <v>350.1945525</v>
      </c>
      <c r="O36" s="2">
        <f>if($J35&gt;=CEILING(100/'Intermediate Sums'!F$46,1), O35, if($J36&gt;=CEILING(100/'Intermediate Sums'!F$46,1), ($J36-1)*'Intermediate Sums'!$B$27, (CEILING('Intermediate Sums'!F72/'Intermediate Sums'!F$52,1)+$J36-1)*'Intermediate Sums'!$B$27))</f>
        <v>350.1945525</v>
      </c>
      <c r="P36" s="2">
        <f>if($J35&gt;=CEILING(100/'Intermediate Sums'!G$46,1), P35, if($J36&gt;=CEILING(100/'Intermediate Sums'!G$46,1), ($J36-1)*'Intermediate Sums'!$B$27, (CEILING('Intermediate Sums'!G72/'Intermediate Sums'!G$52,1)+$J36-1)*'Intermediate Sums'!$B$27))</f>
        <v>350.1945525</v>
      </c>
      <c r="Q36" s="2">
        <f>if($J35&gt;=CEILING(100/'Intermediate Sums'!H$46,1), Q35, if($J36&gt;=CEILING(100/'Intermediate Sums'!H$46,1), ($J36-1)*'Intermediate Sums'!$B$27, (CEILING('Intermediate Sums'!H72/'Intermediate Sums'!H$52,1)+$J36-1)*'Intermediate Sums'!$B$27))</f>
        <v>466.92607</v>
      </c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>
      <c r="A37" s="1">
        <v>6.0</v>
      </c>
      <c r="B37" s="2">
        <f t="shared" si="22"/>
        <v>233.463035</v>
      </c>
      <c r="C37" s="53">
        <f t="array" ref="C37">L37+INDEX('Intermediate Sums'!$B$23:$AP$23, MATCH(TRUE, 'Intermediate Sums'!$B$22:$AP$22 &gt; C$30, 0))</f>
        <v>233.463035</v>
      </c>
      <c r="D37" s="53">
        <f t="array" ref="D37">M37+INDEX('Intermediate Sums'!$B$23:$AP$23, MATCH(TRUE, 'Intermediate Sums'!$B$22:$AP$22 &gt; D$30, 0))</f>
        <v>250.1297017</v>
      </c>
      <c r="E37" s="53">
        <f t="array" ref="E37">N37+INDEX('Intermediate Sums'!$B$23:$AP$23, MATCH(TRUE, 'Intermediate Sums'!$B$22:$AP$22 &gt; E$30, 0))</f>
        <v>383.5278859</v>
      </c>
      <c r="F37" s="53">
        <f t="array" ref="F37">O37+INDEX('Intermediate Sums'!$B$23:$AP$23, MATCH(TRUE, 'Intermediate Sums'!$B$22:$AP$22 &gt; F$30, 0))</f>
        <v>383.5278859</v>
      </c>
      <c r="G37" s="53">
        <f t="array" ref="G37">P37+INDEX('Intermediate Sums'!$B$23:$AP$23, MATCH(TRUE, 'Intermediate Sums'!$B$22:$AP$22 &gt; G$30, 0))</f>
        <v>416.8612192</v>
      </c>
      <c r="H37" s="53">
        <f t="array" ref="H37">Q37+INDEX('Intermediate Sums'!$B$23:$AP$23, MATCH(TRUE, 'Intermediate Sums'!$B$22:$AP$22 &gt; H$30, 0))</f>
        <v>533.5927367</v>
      </c>
      <c r="J37" s="1">
        <v>6.0</v>
      </c>
      <c r="K37" s="2">
        <f>if($J36&gt;=CEILING(100/'Intermediate Sums'!B$46,1), K36, if($J37&gt;=CEILING(100/'Intermediate Sums'!B$46,1), ($J37-1)*'Intermediate Sums'!$B$27, (CEILING('Intermediate Sums'!B73/'Intermediate Sums'!B$52,1)+$J37-1)*'Intermediate Sums'!$B$27))</f>
        <v>233.463035</v>
      </c>
      <c r="L37" s="2">
        <f>if($J36&gt;=CEILING(100/'Intermediate Sums'!C$46,1), L36, if($J37&gt;=CEILING(100/'Intermediate Sums'!C$46,1), ($J37-1)*'Intermediate Sums'!$B$27, (CEILING('Intermediate Sums'!C73/'Intermediate Sums'!C$52,1)+$J37-1)*'Intermediate Sums'!$B$27))</f>
        <v>233.463035</v>
      </c>
      <c r="M37" s="2">
        <f>if($J36&gt;=CEILING(100/'Intermediate Sums'!D$46,1), M36, if($J37&gt;=CEILING(100/'Intermediate Sums'!D$46,1), ($J37-1)*'Intermediate Sums'!$B$27, (CEILING('Intermediate Sums'!D73/'Intermediate Sums'!D$52,1)+$J37-1)*'Intermediate Sums'!$B$27))</f>
        <v>233.463035</v>
      </c>
      <c r="N37" s="2">
        <f>if($J36&gt;=CEILING(100/'Intermediate Sums'!E$46,1), N36, if($J37&gt;=CEILING(100/'Intermediate Sums'!E$46,1), ($J37-1)*'Intermediate Sums'!$B$27, (CEILING('Intermediate Sums'!E73/'Intermediate Sums'!E$52,1)+$J37-1)*'Intermediate Sums'!$B$27))</f>
        <v>350.1945525</v>
      </c>
      <c r="O37" s="2">
        <f>if($J36&gt;=CEILING(100/'Intermediate Sums'!F$46,1), O36, if($J37&gt;=CEILING(100/'Intermediate Sums'!F$46,1), ($J37-1)*'Intermediate Sums'!$B$27, (CEILING('Intermediate Sums'!F73/'Intermediate Sums'!F$52,1)+$J37-1)*'Intermediate Sums'!$B$27))</f>
        <v>350.1945525</v>
      </c>
      <c r="P37" s="2">
        <f>if($J36&gt;=CEILING(100/'Intermediate Sums'!G$46,1), P36, if($J37&gt;=CEILING(100/'Intermediate Sums'!G$46,1), ($J37-1)*'Intermediate Sums'!$B$27, (CEILING('Intermediate Sums'!G73/'Intermediate Sums'!G$52,1)+$J37-1)*'Intermediate Sums'!$B$27))</f>
        <v>350.1945525</v>
      </c>
      <c r="Q37" s="2">
        <f>if($J36&gt;=CEILING(100/'Intermediate Sums'!H$46,1), Q36, if($J37&gt;=CEILING(100/'Intermediate Sums'!H$46,1), ($J37-1)*'Intermediate Sums'!$B$27, (CEILING('Intermediate Sums'!H73/'Intermediate Sums'!H$52,1)+$J37-1)*'Intermediate Sums'!$B$27))</f>
        <v>466.92607</v>
      </c>
    </row>
    <row r="38">
      <c r="A38" s="1">
        <v>7.0</v>
      </c>
      <c r="B38" s="2">
        <f t="shared" si="22"/>
        <v>233.463035</v>
      </c>
      <c r="C38" s="53">
        <f t="array" ref="C38">L38+INDEX('Intermediate Sums'!$B$23:$AP$23, MATCH(TRUE, 'Intermediate Sums'!$B$22:$AP$22 &gt; C$30, 0))</f>
        <v>233.463035</v>
      </c>
      <c r="D38" s="53">
        <f t="array" ref="D38">M38+INDEX('Intermediate Sums'!$B$23:$AP$23, MATCH(TRUE, 'Intermediate Sums'!$B$22:$AP$22 &gt; D$30, 0))</f>
        <v>250.1297017</v>
      </c>
      <c r="E38" s="53">
        <f t="array" ref="E38">N38+INDEX('Intermediate Sums'!$B$23:$AP$23, MATCH(TRUE, 'Intermediate Sums'!$B$22:$AP$22 &gt; E$30, 0))</f>
        <v>383.5278859</v>
      </c>
      <c r="F38" s="53">
        <f t="array" ref="F38">O38+INDEX('Intermediate Sums'!$B$23:$AP$23, MATCH(TRUE, 'Intermediate Sums'!$B$22:$AP$22 &gt; F$30, 0))</f>
        <v>383.5278859</v>
      </c>
      <c r="G38" s="53">
        <f t="array" ref="G38">P38+INDEX('Intermediate Sums'!$B$23:$AP$23, MATCH(TRUE, 'Intermediate Sums'!$B$22:$AP$22 &gt; G$30, 0))</f>
        <v>416.8612192</v>
      </c>
      <c r="H38" s="53">
        <f t="array" ref="H38">Q38+INDEX('Intermediate Sums'!$B$23:$AP$23, MATCH(TRUE, 'Intermediate Sums'!$B$22:$AP$22 &gt; H$30, 0))</f>
        <v>533.5927367</v>
      </c>
      <c r="J38" s="1">
        <v>7.0</v>
      </c>
      <c r="K38" s="2">
        <f>if($J37&gt;=CEILING(100/'Intermediate Sums'!B$46,1), K37, if($J38&gt;=CEILING(100/'Intermediate Sums'!B$46,1), ($J38-1)*'Intermediate Sums'!$B$27, (CEILING('Intermediate Sums'!B74/'Intermediate Sums'!B$52,1)+$J38-1)*'Intermediate Sums'!$B$27))</f>
        <v>233.463035</v>
      </c>
      <c r="L38" s="2">
        <f>if($J37&gt;=CEILING(100/'Intermediate Sums'!C$46,1), L37, if($J38&gt;=CEILING(100/'Intermediate Sums'!C$46,1), ($J38-1)*'Intermediate Sums'!$B$27, (CEILING('Intermediate Sums'!C74/'Intermediate Sums'!C$52,1)+$J38-1)*'Intermediate Sums'!$B$27))</f>
        <v>233.463035</v>
      </c>
      <c r="M38" s="2">
        <f>if($J37&gt;=CEILING(100/'Intermediate Sums'!D$46,1), M37, if($J38&gt;=CEILING(100/'Intermediate Sums'!D$46,1), ($J38-1)*'Intermediate Sums'!$B$27, (CEILING('Intermediate Sums'!D74/'Intermediate Sums'!D$52,1)+$J38-1)*'Intermediate Sums'!$B$27))</f>
        <v>233.463035</v>
      </c>
      <c r="N38" s="2">
        <f>if($J37&gt;=CEILING(100/'Intermediate Sums'!E$46,1), N37, if($J38&gt;=CEILING(100/'Intermediate Sums'!E$46,1), ($J38-1)*'Intermediate Sums'!$B$27, (CEILING('Intermediate Sums'!E74/'Intermediate Sums'!E$52,1)+$J38-1)*'Intermediate Sums'!$B$27))</f>
        <v>350.1945525</v>
      </c>
      <c r="O38" s="2">
        <f>if($J37&gt;=CEILING(100/'Intermediate Sums'!F$46,1), O37, if($J38&gt;=CEILING(100/'Intermediate Sums'!F$46,1), ($J38-1)*'Intermediate Sums'!$B$27, (CEILING('Intermediate Sums'!F74/'Intermediate Sums'!F$52,1)+$J38-1)*'Intermediate Sums'!$B$27))</f>
        <v>350.1945525</v>
      </c>
      <c r="P38" s="2">
        <f>if($J37&gt;=CEILING(100/'Intermediate Sums'!G$46,1), P37, if($J38&gt;=CEILING(100/'Intermediate Sums'!G$46,1), ($J38-1)*'Intermediate Sums'!$B$27, (CEILING('Intermediate Sums'!G74/'Intermediate Sums'!G$52,1)+$J38-1)*'Intermediate Sums'!$B$27))</f>
        <v>350.1945525</v>
      </c>
      <c r="Q38" s="2">
        <f>if($J37&gt;=CEILING(100/'Intermediate Sums'!H$46,1), Q37, if($J38&gt;=CEILING(100/'Intermediate Sums'!H$46,1), ($J38-1)*'Intermediate Sums'!$B$27, (CEILING('Intermediate Sums'!H74/'Intermediate Sums'!H$52,1)+$J38-1)*'Intermediate Sums'!$B$27))</f>
        <v>466.92607</v>
      </c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</sheetData>
  <conditionalFormatting sqref="B9:H16">
    <cfRule type="colorScale" priority="1">
      <colorScale>
        <cfvo type="percentile" val="0"/>
        <cfvo type="formula" val="0"/>
        <cfvo type="percentile" val="100"/>
        <color rgb="FF57BB8A"/>
        <color rgb="FFFFD666"/>
        <color rgb="FFE67C73"/>
      </colorScale>
    </cfRule>
  </conditionalFormatting>
  <conditionalFormatting sqref="K9:Q16">
    <cfRule type="colorScale" priority="2">
      <colorScale>
        <cfvo type="min"/>
        <cfvo type="formula" val="0"/>
        <cfvo type="max"/>
        <color rgb="FF57BB8A"/>
        <color rgb="FFFFD666"/>
        <color rgb="FFE67C73"/>
      </colorScale>
    </cfRule>
  </conditionalFormatting>
  <dataValidations>
    <dataValidation type="list" allowBlank="1" showErrorMessage="1" sqref="A2 A5">
      <formula1>Data!$A:$A</formula1>
    </dataValidation>
    <dataValidation type="list" allowBlank="1" showErrorMessage="1" sqref="B2 B5">
      <formula1>Define!$A$6:$A$9</formula1>
    </dataValidation>
    <dataValidation type="list" allowBlank="1" showErrorMessage="1" sqref="C2 C5">
      <formula1>Define!$A$12:$A$14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</cols>
  <sheetData>
    <row r="1">
      <c r="A1" s="1" t="s">
        <v>0</v>
      </c>
      <c r="B1" s="1" t="str">
        <f>Data!B1</f>
        <v>MV</v>
      </c>
      <c r="C1" s="1" t="str">
        <f>Data!C1</f>
        <v>Drag</v>
      </c>
      <c r="D1" s="1" t="str">
        <f>Data!D1</f>
        <v>D Bonus</v>
      </c>
      <c r="E1" s="1" t="str">
        <f>Data!E1</f>
        <v>E Bonus</v>
      </c>
      <c r="F1" s="1" t="str">
        <f>Data!F1</f>
        <v>S Malus</v>
      </c>
      <c r="G1" s="1" t="str">
        <f>Data!G1</f>
        <v>RoF</v>
      </c>
      <c r="H1" s="1" t="str">
        <f>Data!H1</f>
        <v>HS Mult</v>
      </c>
      <c r="I1" s="1">
        <f>Data!I1</f>
        <v>0</v>
      </c>
      <c r="J1" s="1">
        <f>Data!J1</f>
        <v>10</v>
      </c>
      <c r="K1" s="1">
        <f>Data!K1</f>
        <v>20</v>
      </c>
      <c r="L1" s="1">
        <f>Data!L1</f>
        <v>35</v>
      </c>
      <c r="M1" s="1">
        <f>Data!M1</f>
        <v>50</v>
      </c>
      <c r="N1" s="1">
        <f>Data!N1</f>
        <v>70</v>
      </c>
      <c r="O1" s="1">
        <f>Data!O1</f>
        <v>80</v>
      </c>
      <c r="P1" s="1" t="str">
        <f>Data!P1</f>
        <v/>
      </c>
      <c r="Q1" s="1" t="str">
        <f>Data!Q1</f>
        <v/>
      </c>
      <c r="R1" s="1" t="str">
        <f>Data!R1</f>
        <v/>
      </c>
      <c r="S1" s="1" t="str">
        <f>Data!S1</f>
        <v/>
      </c>
      <c r="T1" s="1" t="str">
        <f>Data!T1</f>
        <v/>
      </c>
      <c r="U1" s="1" t="str">
        <f>Data!U1</f>
        <v/>
      </c>
      <c r="V1" s="1" t="str">
        <f>Data!V1</f>
        <v/>
      </c>
      <c r="W1" s="1" t="str">
        <f>Data!W1</f>
        <v/>
      </c>
    </row>
    <row r="2">
      <c r="B2" s="8">
        <f>VLOOKUP(Main!$A$2, Data!$A:$Q, 2, false)</f>
        <v>428</v>
      </c>
      <c r="C2" s="1">
        <f>VLOOKUP(Main!$A$2, Data!$A:$Q, 3, false)</f>
        <v>0.0025</v>
      </c>
      <c r="D2" s="1">
        <f>VLOOKUP(Main!$A$2, Data!$A:$Q, 4, false)</f>
        <v>0.04</v>
      </c>
      <c r="E2" s="1">
        <f>VLOOKUP(Main!$A$2, Data!$A:$Q, 5, false)</f>
        <v>1.25</v>
      </c>
      <c r="F2" s="1">
        <f>VLOOKUP(Main!$A$2, Data!$A:$Q, 6, false)</f>
        <v>0.8</v>
      </c>
      <c r="G2" s="8">
        <f>VLOOKUP(Main!$A$2, Data!$A:$Q, 7, false)</f>
        <v>800</v>
      </c>
      <c r="H2" s="1">
        <f>VLOOKUP(Main!$A$2, Data!$A:$Q, 8, false)</f>
        <v>1.34</v>
      </c>
      <c r="I2" s="8">
        <f>VLOOKUP(Main!$A$2, Data!$A:$Q, 9, false)</f>
        <v>33.4</v>
      </c>
      <c r="J2" s="8">
        <f>VLOOKUP(Main!$A$2, Data!$A:$Q, 10, false)</f>
        <v>25</v>
      </c>
      <c r="K2" s="8">
        <f>VLOOKUP(Main!$A$2, Data!$A:$Q, 11, false)</f>
        <v>25</v>
      </c>
      <c r="L2" s="8">
        <f>VLOOKUP(Main!$A$2, Data!$A:$Q, 12, false)</f>
        <v>20</v>
      </c>
      <c r="M2" s="8">
        <f>VLOOKUP(Main!$A$2, Data!$A:$Q, 13, false)</f>
        <v>16.7</v>
      </c>
      <c r="N2" s="8">
        <f>VLOOKUP(Main!$A$2, Data!$A:$Q, 14, false)</f>
        <v>16.7</v>
      </c>
      <c r="O2" s="8">
        <f>VLOOKUP(Main!$A$2, Data!$A:$Q, 15, false)</f>
        <v>14.3</v>
      </c>
      <c r="P2" s="1"/>
      <c r="Q2" s="1"/>
      <c r="R2" s="1"/>
      <c r="S2" s="1"/>
      <c r="T2" s="1"/>
      <c r="U2" s="1"/>
      <c r="V2" s="1"/>
      <c r="W2" s="1"/>
    </row>
    <row r="3">
      <c r="B3" s="2" t="str">
        <f>Define!B5</f>
        <v>H Bonus</v>
      </c>
      <c r="C3" s="2" t="str">
        <f>Define!C5</f>
        <v>D Bonus</v>
      </c>
    </row>
    <row r="4">
      <c r="B4" s="1">
        <f>VLOOKUP(Main!$B$2, Define!A6:C9, 2, false)</f>
        <v>0</v>
      </c>
      <c r="C4" s="1">
        <f>VLOOKUP(Main!$B$2, Define!A6:C9, 3, false)</f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>
      <c r="B5" s="2" t="str">
        <f>Define!B11</f>
        <v>V Mod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B6" s="1">
        <f>VLOOKUP(Main!$C$2, Define!A12:B14, 2, false)</f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s="1" t="s">
        <v>32</v>
      </c>
      <c r="B8" s="1" t="str">
        <f>Data!B1</f>
        <v>MV</v>
      </c>
      <c r="C8" s="1" t="str">
        <f>Data!C1</f>
        <v>Drag</v>
      </c>
      <c r="D8" s="1" t="str">
        <f>Data!D1</f>
        <v>D Bonus</v>
      </c>
      <c r="E8" s="1" t="str">
        <f>Data!E1</f>
        <v>E Bonus</v>
      </c>
      <c r="F8" s="1" t="str">
        <f>Data!F1</f>
        <v>S Malus</v>
      </c>
      <c r="G8" s="1" t="str">
        <f>Data!G1</f>
        <v>RoF</v>
      </c>
      <c r="H8" s="1" t="str">
        <f>Data!H1</f>
        <v>HS Mult</v>
      </c>
      <c r="I8" s="1">
        <f>Data!I1</f>
        <v>0</v>
      </c>
      <c r="J8" s="1">
        <f>Data!J1</f>
        <v>10</v>
      </c>
      <c r="K8" s="1">
        <f>Data!K1</f>
        <v>20</v>
      </c>
      <c r="L8" s="1">
        <f>Data!L1</f>
        <v>35</v>
      </c>
      <c r="M8" s="1">
        <f>Data!M1</f>
        <v>50</v>
      </c>
      <c r="N8" s="1">
        <f>Data!N1</f>
        <v>70</v>
      </c>
      <c r="O8" s="1">
        <f>Data!O1</f>
        <v>80</v>
      </c>
      <c r="P8" s="1" t="str">
        <f>Data!P8</f>
        <v/>
      </c>
      <c r="Q8" s="1" t="str">
        <f>Data!Q8</f>
        <v/>
      </c>
      <c r="R8" s="1" t="str">
        <f>Data!R8</f>
        <v/>
      </c>
      <c r="S8" s="1" t="str">
        <f>Data!S8</f>
        <v/>
      </c>
      <c r="T8" s="1" t="str">
        <f>Data!T8</f>
        <v/>
      </c>
      <c r="U8" s="1" t="str">
        <f>Data!U8</f>
        <v/>
      </c>
      <c r="V8" s="1" t="str">
        <f>Data!V8</f>
        <v/>
      </c>
      <c r="W8" s="1" t="str">
        <f>Data!W8</f>
        <v/>
      </c>
    </row>
    <row r="9">
      <c r="B9" s="8">
        <f>VLOOKUP(Main!$A$5, Data!$A:$Q, 2, false)</f>
        <v>840</v>
      </c>
      <c r="C9" s="1">
        <f>VLOOKUP(Main!$A$5, Data!$A:$Q, 3, false)</f>
        <v>0.0025</v>
      </c>
      <c r="D9" s="1">
        <f>VLOOKUP(Main!$A$5, Data!$A:$Q, 4, false)</f>
        <v>0.04</v>
      </c>
      <c r="E9" s="1">
        <f>VLOOKUP(Main!$A$5, Data!$A:$Q, 5, false)</f>
        <v>1.25</v>
      </c>
      <c r="F9" s="1">
        <f>VLOOKUP(Main!$A$5, Data!$A:$Q, 6, false)</f>
        <v>0.8</v>
      </c>
      <c r="G9" s="8">
        <f>VLOOKUP(Main!$A$5, Data!$A:$Q, 7, false)</f>
        <v>514</v>
      </c>
      <c r="H9" s="1">
        <f>VLOOKUP(Main!$A$5, Data!$A:$Q, 8, false)</f>
        <v>1.34</v>
      </c>
      <c r="I9" s="8">
        <f>VLOOKUP(Main!$A$5, Data!$A:$Q, 9, false)</f>
        <v>25</v>
      </c>
      <c r="J9" s="8">
        <f>VLOOKUP(Main!$A$5, Data!$A:$Q, 10, false)</f>
        <v>25</v>
      </c>
      <c r="K9" s="8">
        <f>VLOOKUP(Main!$A$5, Data!$A:$Q, 11, false)</f>
        <v>25</v>
      </c>
      <c r="L9" s="8">
        <f>VLOOKUP(Main!$A$5, Data!$A:$Q, 12, false)</f>
        <v>20</v>
      </c>
      <c r="M9" s="8">
        <f>VLOOKUP(Main!$A$5, Data!$A:$Q, 13, false)</f>
        <v>20</v>
      </c>
      <c r="N9" s="8">
        <f>VLOOKUP(Main!$A$5, Data!$A:$Q, 14, false)</f>
        <v>20</v>
      </c>
      <c r="O9" s="8">
        <f>VLOOKUP(Main!$A$5, Data!$A:$Q, 15, false)</f>
        <v>16.7</v>
      </c>
      <c r="P9" s="1"/>
      <c r="Q9" s="1"/>
      <c r="R9" s="1"/>
      <c r="S9" s="1"/>
      <c r="T9" s="1"/>
      <c r="U9" s="1"/>
      <c r="V9" s="1"/>
      <c r="W9" s="1"/>
    </row>
    <row r="10">
      <c r="B10" s="2" t="str">
        <f>Define!B5</f>
        <v>H Bonus</v>
      </c>
      <c r="C10" s="2" t="str">
        <f>Define!C5</f>
        <v>D Bonus</v>
      </c>
    </row>
    <row r="11">
      <c r="B11" s="1">
        <f>VLOOKUP(Main!$B$5, Define!$A$6:$C$9, 2, false)</f>
        <v>0</v>
      </c>
      <c r="C11" s="1">
        <f>VLOOKUP(Main!$B$5, Define!$A$6:$C$9, 3, false)</f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B12" s="1" t="str">
        <f>Define!B11</f>
        <v>V Mod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B13" s="1">
        <f>VLOOKUP(Main!$C$5, Define!A12:B14, 2, false)</f>
        <v>1.25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s="1" t="s">
        <v>49</v>
      </c>
      <c r="B14" s="1">
        <v>0.0</v>
      </c>
      <c r="C14" s="1">
        <v>1.0</v>
      </c>
      <c r="D14" s="1">
        <v>2.0</v>
      </c>
      <c r="E14" s="1">
        <v>3.0</v>
      </c>
      <c r="F14" s="1">
        <v>4.0</v>
      </c>
      <c r="G14" s="1">
        <v>5.0</v>
      </c>
      <c r="H14" s="1">
        <v>6.0</v>
      </c>
      <c r="I14" s="1">
        <v>7.0</v>
      </c>
      <c r="J14" s="1">
        <v>8.0</v>
      </c>
      <c r="K14" s="1">
        <v>9.0</v>
      </c>
      <c r="L14" s="1">
        <v>10.0</v>
      </c>
      <c r="M14" s="1">
        <v>11.0</v>
      </c>
      <c r="N14" s="1">
        <v>12.0</v>
      </c>
      <c r="O14" s="1">
        <v>13.0</v>
      </c>
      <c r="P14" s="1">
        <v>14.0</v>
      </c>
      <c r="Q14" s="1">
        <v>15.0</v>
      </c>
      <c r="R14" s="1">
        <v>16.0</v>
      </c>
      <c r="S14" s="1">
        <v>17.0</v>
      </c>
      <c r="T14" s="1">
        <v>18.0</v>
      </c>
      <c r="U14" s="1">
        <v>19.0</v>
      </c>
      <c r="V14" s="1">
        <v>20.0</v>
      </c>
      <c r="W14" s="1">
        <v>21.0</v>
      </c>
      <c r="X14" s="1">
        <v>22.0</v>
      </c>
      <c r="Y14" s="1">
        <v>23.0</v>
      </c>
      <c r="Z14" s="1">
        <v>24.0</v>
      </c>
      <c r="AA14" s="1">
        <v>25.0</v>
      </c>
      <c r="AB14" s="1">
        <v>26.0</v>
      </c>
      <c r="AC14" s="1">
        <v>27.0</v>
      </c>
      <c r="AD14" s="1">
        <v>28.0</v>
      </c>
      <c r="AE14" s="1">
        <v>29.0</v>
      </c>
      <c r="AF14" s="1">
        <v>30.0</v>
      </c>
      <c r="AG14" s="1">
        <v>31.0</v>
      </c>
      <c r="AH14" s="1">
        <v>32.0</v>
      </c>
      <c r="AI14" s="1">
        <v>33.0</v>
      </c>
      <c r="AJ14" s="1">
        <v>34.0</v>
      </c>
      <c r="AK14" s="1">
        <v>35.0</v>
      </c>
      <c r="AL14" s="1">
        <v>36.0</v>
      </c>
      <c r="AM14" s="1">
        <v>37.0</v>
      </c>
      <c r="AN14" s="1">
        <v>38.0</v>
      </c>
      <c r="AO14" s="1">
        <v>39.0</v>
      </c>
      <c r="AP14" s="1">
        <v>40.0</v>
      </c>
    </row>
    <row r="15">
      <c r="A15" s="1" t="s">
        <v>51</v>
      </c>
      <c r="B15" s="61">
        <f>(B18/1000)*Define!$B$2</f>
        <v>7.133333333</v>
      </c>
      <c r="C15" s="61">
        <f>(C18/1000)*Define!$B$2</f>
        <v>7.006122222</v>
      </c>
      <c r="D15" s="61">
        <f>(D18/1000)*Define!$B$2</f>
        <v>6.883407851</v>
      </c>
      <c r="E15" s="61">
        <f>(E18/1000)*Define!$B$2</f>
        <v>6.764954592</v>
      </c>
      <c r="F15" s="61">
        <f>(F18/1000)*Define!$B$2</f>
        <v>6.650543065</v>
      </c>
      <c r="G15" s="61">
        <f>(G18/1000)*Define!$B$2</f>
        <v>6.539968757</v>
      </c>
      <c r="H15" s="61">
        <f>(H18/1000)*Define!$B$2</f>
        <v>6.433040779</v>
      </c>
      <c r="I15" s="61">
        <f>(I18/1000)*Define!$B$2</f>
        <v>6.329580745</v>
      </c>
      <c r="J15" s="61">
        <f>(J18/1000)*Define!$B$2</f>
        <v>6.229421764</v>
      </c>
      <c r="K15" s="61">
        <f>(K18/1000)*Define!$B$2</f>
        <v>6.132407525</v>
      </c>
      <c r="L15" s="61">
        <f>(L18/1000)*Define!$B$2</f>
        <v>6.03839147</v>
      </c>
      <c r="M15" s="61">
        <f>(M18/1000)*Define!$B$2</f>
        <v>5.947236041</v>
      </c>
      <c r="N15" s="61">
        <f>(N18/1000)*Define!$B$2</f>
        <v>5.858812</v>
      </c>
      <c r="O15" s="61">
        <f>(O18/1000)*Define!$B$2</f>
        <v>5.772997805</v>
      </c>
      <c r="P15" s="61">
        <f>(P18/1000)*Define!$B$2</f>
        <v>5.689679046</v>
      </c>
      <c r="Q15" s="61">
        <f>(Q18/1000)*Define!$B$2</f>
        <v>5.608747926</v>
      </c>
      <c r="R15" s="61">
        <f>(R18/1000)*Define!$B$2</f>
        <v>5.530102793</v>
      </c>
      <c r="S15" s="61">
        <f>(S18/1000)*Define!$B$2</f>
        <v>5.453647701</v>
      </c>
      <c r="T15" s="61">
        <f>(T18/1000)*Define!$B$2</f>
        <v>5.379292018</v>
      </c>
      <c r="U15" s="61">
        <f>(U18/1000)*Define!$B$2</f>
        <v>5.306950061</v>
      </c>
      <c r="V15" s="61">
        <f>(V18/1000)*Define!$B$2</f>
        <v>5.236540764</v>
      </c>
      <c r="W15" s="61">
        <f>(W18/1000)*Define!$B$2</f>
        <v>5.167987366</v>
      </c>
      <c r="X15" s="61">
        <f>(X18/1000)*Define!$B$2</f>
        <v>5.101217132</v>
      </c>
      <c r="Y15" s="61">
        <f>(Y18/1000)*Define!$B$2</f>
        <v>5.036161092</v>
      </c>
      <c r="Z15" s="61">
        <f>(Z18/1000)*Define!$B$2</f>
        <v>4.972753795</v>
      </c>
      <c r="AA15" s="61">
        <f>(AA18/1000)*Define!$B$2</f>
        <v>4.910933095</v>
      </c>
      <c r="AB15" s="61">
        <f>(AB18/1000)*Define!$B$2</f>
        <v>4.850639935</v>
      </c>
      <c r="AC15" s="61">
        <f>(AC18/1000)*Define!$B$2</f>
        <v>4.791818166</v>
      </c>
      <c r="AD15" s="61">
        <f>(AD18/1000)*Define!$B$2</f>
        <v>4.734414362</v>
      </c>
      <c r="AE15" s="61">
        <f>(AE18/1000)*Define!$B$2</f>
        <v>4.678377664</v>
      </c>
      <c r="AF15" s="61">
        <f>(AF18/1000)*Define!$B$2</f>
        <v>4.62365962</v>
      </c>
      <c r="AG15" s="61">
        <f>(AG18/1000)*Define!$B$2</f>
        <v>4.570214049</v>
      </c>
      <c r="AH15" s="61">
        <f>(AH18/1000)*Define!$B$2</f>
        <v>4.517996908</v>
      </c>
      <c r="AI15" s="61">
        <f>(AI18/1000)*Define!$B$2</f>
        <v>4.466966168</v>
      </c>
      <c r="AJ15" s="61">
        <f>(AJ18/1000)*Define!$B$2</f>
        <v>4.417081701</v>
      </c>
      <c r="AK15" s="61">
        <f>(AK18/1000)*Define!$B$2</f>
        <v>4.368305174</v>
      </c>
      <c r="AL15" s="61">
        <f>(AL18/1000)*Define!$B$2</f>
        <v>4.320599949</v>
      </c>
      <c r="AM15" s="61">
        <f>(AM18/1000)*Define!$B$2</f>
        <v>4.273930989</v>
      </c>
      <c r="AN15" s="61">
        <f>(AN18/1000)*Define!$B$2</f>
        <v>4.228264774</v>
      </c>
      <c r="AO15" s="61">
        <f>(AO18/1000)*Define!$B$2</f>
        <v>4.183569216</v>
      </c>
      <c r="AP15" s="61">
        <f>(AP18/1000)*Define!$B$2</f>
        <v>4.139813588</v>
      </c>
    </row>
    <row r="16">
      <c r="A16" s="1" t="str">
        <f>CONCATENATE(Main!A2, " (meters)")</f>
        <v>SCW-10 (meters)</v>
      </c>
      <c r="B16" s="61">
        <f>B15</f>
        <v>7.133333333</v>
      </c>
      <c r="C16" s="61">
        <f t="shared" ref="C16:AP16" si="1">B16+C15</f>
        <v>14.13945556</v>
      </c>
      <c r="D16" s="61">
        <f t="shared" si="1"/>
        <v>21.02286341</v>
      </c>
      <c r="E16" s="61">
        <f t="shared" si="1"/>
        <v>27.787818</v>
      </c>
      <c r="F16" s="61">
        <f t="shared" si="1"/>
        <v>34.43836106</v>
      </c>
      <c r="G16" s="61">
        <f t="shared" si="1"/>
        <v>40.97832982</v>
      </c>
      <c r="H16" s="61">
        <f t="shared" si="1"/>
        <v>47.4113706</v>
      </c>
      <c r="I16" s="61">
        <f t="shared" si="1"/>
        <v>53.74095134</v>
      </c>
      <c r="J16" s="61">
        <f t="shared" si="1"/>
        <v>59.97037311</v>
      </c>
      <c r="K16" s="61">
        <f t="shared" si="1"/>
        <v>66.10278063</v>
      </c>
      <c r="L16" s="61">
        <f t="shared" si="1"/>
        <v>72.1411721</v>
      </c>
      <c r="M16" s="61">
        <f t="shared" si="1"/>
        <v>78.08840814</v>
      </c>
      <c r="N16" s="61">
        <f t="shared" si="1"/>
        <v>83.94722014</v>
      </c>
      <c r="O16" s="61">
        <f t="shared" si="1"/>
        <v>89.72021795</v>
      </c>
      <c r="P16" s="61">
        <f t="shared" si="1"/>
        <v>95.40989699</v>
      </c>
      <c r="Q16" s="61">
        <f t="shared" si="1"/>
        <v>101.0186449</v>
      </c>
      <c r="R16" s="61">
        <f t="shared" si="1"/>
        <v>106.5487477</v>
      </c>
      <c r="S16" s="61">
        <f t="shared" si="1"/>
        <v>112.0023954</v>
      </c>
      <c r="T16" s="61">
        <f t="shared" si="1"/>
        <v>117.3816874</v>
      </c>
      <c r="U16" s="61">
        <f t="shared" si="1"/>
        <v>122.6886375</v>
      </c>
      <c r="V16" s="61">
        <f t="shared" si="1"/>
        <v>127.9251783</v>
      </c>
      <c r="W16" s="61">
        <f t="shared" si="1"/>
        <v>133.0931656</v>
      </c>
      <c r="X16" s="61">
        <f t="shared" si="1"/>
        <v>138.1943828</v>
      </c>
      <c r="Y16" s="61">
        <f t="shared" si="1"/>
        <v>143.2305438</v>
      </c>
      <c r="Z16" s="61">
        <f t="shared" si="1"/>
        <v>148.2032976</v>
      </c>
      <c r="AA16" s="61">
        <f t="shared" si="1"/>
        <v>153.1142307</v>
      </c>
      <c r="AB16" s="61">
        <f t="shared" si="1"/>
        <v>157.9648707</v>
      </c>
      <c r="AC16" s="61">
        <f t="shared" si="1"/>
        <v>162.7566888</v>
      </c>
      <c r="AD16" s="61">
        <f t="shared" si="1"/>
        <v>167.4911032</v>
      </c>
      <c r="AE16" s="61">
        <f t="shared" si="1"/>
        <v>172.1694809</v>
      </c>
      <c r="AF16" s="61">
        <f t="shared" si="1"/>
        <v>176.7931405</v>
      </c>
      <c r="AG16" s="61">
        <f t="shared" si="1"/>
        <v>181.3633545</v>
      </c>
      <c r="AH16" s="61">
        <f t="shared" si="1"/>
        <v>185.8813514</v>
      </c>
      <c r="AI16" s="61">
        <f t="shared" si="1"/>
        <v>190.3483176</v>
      </c>
      <c r="AJ16" s="61">
        <f t="shared" si="1"/>
        <v>194.7653993</v>
      </c>
      <c r="AK16" s="61">
        <f t="shared" si="1"/>
        <v>199.1337045</v>
      </c>
      <c r="AL16" s="61">
        <f t="shared" si="1"/>
        <v>203.4543044</v>
      </c>
      <c r="AM16" s="61">
        <f t="shared" si="1"/>
        <v>207.7282354</v>
      </c>
      <c r="AN16" s="61">
        <f t="shared" si="1"/>
        <v>211.9565002</v>
      </c>
      <c r="AO16" s="61">
        <f t="shared" si="1"/>
        <v>216.1400694</v>
      </c>
      <c r="AP16" s="61">
        <f t="shared" si="1"/>
        <v>220.279883</v>
      </c>
    </row>
    <row r="17">
      <c r="A17" s="1" t="s">
        <v>71</v>
      </c>
      <c r="B17" s="61">
        <f>(B14)*Define!$B$2</f>
        <v>0</v>
      </c>
      <c r="C17" s="61">
        <f>(C14)*Define!$B$2</f>
        <v>16.66666667</v>
      </c>
      <c r="D17" s="61">
        <f>(D14)*Define!$B$2</f>
        <v>33.33333333</v>
      </c>
      <c r="E17" s="61">
        <f>(E14)*Define!$B$2</f>
        <v>50</v>
      </c>
      <c r="F17" s="61">
        <f>(F14)*Define!$B$2</f>
        <v>66.66666667</v>
      </c>
      <c r="G17" s="61">
        <f>(G14)*Define!$B$2</f>
        <v>83.33333333</v>
      </c>
      <c r="H17" s="61">
        <f>(H14)*Define!$B$2</f>
        <v>100</v>
      </c>
      <c r="I17" s="61">
        <f>(I14)*Define!$B$2</f>
        <v>116.6666667</v>
      </c>
      <c r="J17" s="61">
        <f>(J14)*Define!$B$2</f>
        <v>133.3333333</v>
      </c>
      <c r="K17" s="61">
        <f>(K14)*Define!$B$2</f>
        <v>150</v>
      </c>
      <c r="L17" s="61">
        <f>(L14)*Define!$B$2</f>
        <v>166.6666667</v>
      </c>
      <c r="M17" s="61">
        <f>(M14)*Define!$B$2</f>
        <v>183.3333333</v>
      </c>
      <c r="N17" s="61">
        <f>(N14)*Define!$B$2</f>
        <v>200</v>
      </c>
      <c r="O17" s="61">
        <f>(O14)*Define!$B$2</f>
        <v>216.6666667</v>
      </c>
      <c r="P17" s="61">
        <f>(P14)*Define!$B$2</f>
        <v>233.3333333</v>
      </c>
      <c r="Q17" s="61">
        <f>(Q14)*Define!$B$2</f>
        <v>250</v>
      </c>
      <c r="R17" s="61">
        <f>(R14)*Define!$B$2</f>
        <v>266.6666667</v>
      </c>
      <c r="S17" s="61">
        <f>(S14)*Define!$B$2</f>
        <v>283.3333333</v>
      </c>
      <c r="T17" s="61">
        <f>(T14)*Define!$B$2</f>
        <v>300</v>
      </c>
      <c r="U17" s="61">
        <f>(U14)*Define!$B$2</f>
        <v>316.6666667</v>
      </c>
      <c r="V17" s="61">
        <f>(V14)*Define!$B$2</f>
        <v>333.3333333</v>
      </c>
      <c r="W17" s="61">
        <f>(W14)*Define!$B$2</f>
        <v>350</v>
      </c>
      <c r="X17" s="61">
        <f>(X14)*Define!$B$2</f>
        <v>366.6666667</v>
      </c>
      <c r="Y17" s="61">
        <f>(Y14)*Define!$B$2</f>
        <v>383.3333333</v>
      </c>
      <c r="Z17" s="61">
        <f>(Z14)*Define!$B$2</f>
        <v>400</v>
      </c>
      <c r="AA17" s="61">
        <f>(AA14)*Define!$B$2</f>
        <v>416.6666667</v>
      </c>
      <c r="AB17" s="61">
        <f>(AB14)*Define!$B$2</f>
        <v>433.3333333</v>
      </c>
      <c r="AC17" s="61">
        <f>(AC14)*Define!$B$2</f>
        <v>450</v>
      </c>
      <c r="AD17" s="61">
        <f>(AD14)*Define!$B$2</f>
        <v>466.6666667</v>
      </c>
      <c r="AE17" s="61">
        <f>(AE14)*Define!$B$2</f>
        <v>483.3333333</v>
      </c>
      <c r="AF17" s="61">
        <f>(AF14)*Define!$B$2</f>
        <v>500</v>
      </c>
      <c r="AG17" s="61">
        <f>(AG14)*Define!$B$2</f>
        <v>516.6666667</v>
      </c>
      <c r="AH17" s="61">
        <f>(AH14)*Define!$B$2</f>
        <v>533.3333333</v>
      </c>
      <c r="AI17" s="61">
        <f>(AI14)*Define!$B$2</f>
        <v>550</v>
      </c>
      <c r="AJ17" s="61">
        <f>(AJ14)*Define!$B$2</f>
        <v>566.6666667</v>
      </c>
      <c r="AK17" s="61">
        <f>(AK14)*Define!$B$2</f>
        <v>583.3333333</v>
      </c>
      <c r="AL17" s="61">
        <f>(AL14)*Define!$B$2</f>
        <v>600</v>
      </c>
      <c r="AM17" s="61">
        <f>(AM14)*Define!$B$2</f>
        <v>616.6666667</v>
      </c>
      <c r="AN17" s="61">
        <f>(AN14)*Define!$B$2</f>
        <v>633.3333333</v>
      </c>
      <c r="AO17" s="61">
        <f>(AO14)*Define!$B$2</f>
        <v>650</v>
      </c>
      <c r="AP17" s="61">
        <f>(AP14)*Define!$B$2</f>
        <v>666.6666667</v>
      </c>
    </row>
    <row r="18">
      <c r="A18" s="1" t="s">
        <v>72</v>
      </c>
      <c r="B18" s="61">
        <f>'Intermediate Sums'!$B$2*'Intermediate Sums'!$B$6</f>
        <v>428</v>
      </c>
      <c r="C18" s="61">
        <f>B18-(((B18^2)*'Intermediate Sums'!$C$2*'Intermediate Sums'!$C$4)/1000)*Define!$B$2</f>
        <v>420.3673333</v>
      </c>
      <c r="D18" s="61">
        <f>C18-(((C18^2)*'Intermediate Sums'!$C$2*'Intermediate Sums'!$C$4)/1000)*Define!$B$2</f>
        <v>413.004471</v>
      </c>
      <c r="E18" s="61">
        <f>D18-(((D18^2)*'Intermediate Sums'!$C$2*'Intermediate Sums'!$C$4)/1000)*Define!$B$2</f>
        <v>405.8972755</v>
      </c>
      <c r="F18" s="61">
        <f>E18-(((E18^2)*'Intermediate Sums'!$C$2*'Intermediate Sums'!$C$4)/1000)*Define!$B$2</f>
        <v>399.0325839</v>
      </c>
      <c r="G18" s="61">
        <f>F18-(((F18^2)*'Intermediate Sums'!$C$2*'Intermediate Sums'!$C$4)/1000)*Define!$B$2</f>
        <v>392.3981254</v>
      </c>
      <c r="H18" s="61">
        <f>G18-(((G18^2)*'Intermediate Sums'!$C$2*'Intermediate Sums'!$C$4)/1000)*Define!$B$2</f>
        <v>385.9824467</v>
      </c>
      <c r="I18" s="61">
        <f>H18-(((H18^2)*'Intermediate Sums'!$C$2*'Intermediate Sums'!$C$4)/1000)*Define!$B$2</f>
        <v>379.7748447</v>
      </c>
      <c r="J18" s="61">
        <f>I18-(((I18^2)*'Intermediate Sums'!$C$2*'Intermediate Sums'!$C$4)/1000)*Define!$B$2</f>
        <v>373.7653058</v>
      </c>
      <c r="K18" s="61">
        <f>J18-(((J18^2)*'Intermediate Sums'!$C$2*'Intermediate Sums'!$C$4)/1000)*Define!$B$2</f>
        <v>367.9444515</v>
      </c>
      <c r="L18" s="61">
        <f>K18-(((K18^2)*'Intermediate Sums'!$C$2*'Intermediate Sums'!$C$4)/1000)*Define!$B$2</f>
        <v>362.3034882</v>
      </c>
      <c r="M18" s="61">
        <f>L18-(((L18^2)*'Intermediate Sums'!$C$2*'Intermediate Sums'!$C$4)/1000)*Define!$B$2</f>
        <v>356.8341625</v>
      </c>
      <c r="N18" s="61">
        <f>M18-(((M18^2)*'Intermediate Sums'!$C$2*'Intermediate Sums'!$C$4)/1000)*Define!$B$2</f>
        <v>351.52872</v>
      </c>
      <c r="O18" s="61">
        <f>N18-(((N18^2)*'Intermediate Sums'!$C$2*'Intermediate Sums'!$C$4)/1000)*Define!$B$2</f>
        <v>346.3798683</v>
      </c>
      <c r="P18" s="61">
        <f>O18-(((O18^2)*'Intermediate Sums'!$C$2*'Intermediate Sums'!$C$4)/1000)*Define!$B$2</f>
        <v>341.3807427</v>
      </c>
      <c r="Q18" s="61">
        <f>P18-(((P18^2)*'Intermediate Sums'!$C$2*'Intermediate Sums'!$C$4)/1000)*Define!$B$2</f>
        <v>336.5248756</v>
      </c>
      <c r="R18" s="61">
        <f>Q18-(((Q18^2)*'Intermediate Sums'!$C$2*'Intermediate Sums'!$C$4)/1000)*Define!$B$2</f>
        <v>331.8061676</v>
      </c>
      <c r="S18" s="61">
        <f>R18-(((R18^2)*'Intermediate Sums'!$C$2*'Intermediate Sums'!$C$4)/1000)*Define!$B$2</f>
        <v>327.2188621</v>
      </c>
      <c r="T18" s="61">
        <f>S18-(((S18^2)*'Intermediate Sums'!$C$2*'Intermediate Sums'!$C$4)/1000)*Define!$B$2</f>
        <v>322.7575211</v>
      </c>
      <c r="U18" s="61">
        <f>T18-(((T18^2)*'Intermediate Sums'!$C$2*'Intermediate Sums'!$C$4)/1000)*Define!$B$2</f>
        <v>318.4170037</v>
      </c>
      <c r="V18" s="61">
        <f>U18-(((U18^2)*'Intermediate Sums'!$C$2*'Intermediate Sums'!$C$4)/1000)*Define!$B$2</f>
        <v>314.1924458</v>
      </c>
      <c r="W18" s="61">
        <f>V18-(((V18^2)*'Intermediate Sums'!$C$2*'Intermediate Sums'!$C$4)/1000)*Define!$B$2</f>
        <v>310.079242</v>
      </c>
      <c r="X18" s="61">
        <f>W18-(((W18^2)*'Intermediate Sums'!$C$2*'Intermediate Sums'!$C$4)/1000)*Define!$B$2</f>
        <v>306.0730279</v>
      </c>
      <c r="Y18" s="61">
        <f>X18-(((X18^2)*'Intermediate Sums'!$C$2*'Intermediate Sums'!$C$4)/1000)*Define!$B$2</f>
        <v>302.1696655</v>
      </c>
      <c r="Z18" s="61">
        <f>Y18-(((Y18^2)*'Intermediate Sums'!$C$2*'Intermediate Sums'!$C$4)/1000)*Define!$B$2</f>
        <v>298.3652277</v>
      </c>
      <c r="AA18" s="61">
        <f>Z18-(((Z18^2)*'Intermediate Sums'!$C$2*'Intermediate Sums'!$C$4)/1000)*Define!$B$2</f>
        <v>294.6559857</v>
      </c>
      <c r="AB18" s="61">
        <f>AA18-(((AA18^2)*'Intermediate Sums'!$C$2*'Intermediate Sums'!$C$4)/1000)*Define!$B$2</f>
        <v>291.0383961</v>
      </c>
      <c r="AC18" s="61">
        <f>AB18-(((AB18^2)*'Intermediate Sums'!$C$2*'Intermediate Sums'!$C$4)/1000)*Define!$B$2</f>
        <v>287.5090899</v>
      </c>
      <c r="AD18" s="61">
        <f>AC18-(((AC18^2)*'Intermediate Sums'!$C$2*'Intermediate Sums'!$C$4)/1000)*Define!$B$2</f>
        <v>284.0648617</v>
      </c>
      <c r="AE18" s="61">
        <f>AD18-(((AD18^2)*'Intermediate Sums'!$C$2*'Intermediate Sums'!$C$4)/1000)*Define!$B$2</f>
        <v>280.7026598</v>
      </c>
      <c r="AF18" s="61">
        <f>AE18-(((AE18^2)*'Intermediate Sums'!$C$2*'Intermediate Sums'!$C$4)/1000)*Define!$B$2</f>
        <v>277.4195772</v>
      </c>
      <c r="AG18" s="61">
        <f>AF18-(((AF18^2)*'Intermediate Sums'!$C$2*'Intermediate Sums'!$C$4)/1000)*Define!$B$2</f>
        <v>274.212843</v>
      </c>
      <c r="AH18" s="61">
        <f>AG18-(((AG18^2)*'Intermediate Sums'!$C$2*'Intermediate Sums'!$C$4)/1000)*Define!$B$2</f>
        <v>271.0798145</v>
      </c>
      <c r="AI18" s="61">
        <f>AH18-(((AH18^2)*'Intermediate Sums'!$C$2*'Intermediate Sums'!$C$4)/1000)*Define!$B$2</f>
        <v>268.0179701</v>
      </c>
      <c r="AJ18" s="61">
        <f>AI18-(((AI18^2)*'Intermediate Sums'!$C$2*'Intermediate Sums'!$C$4)/1000)*Define!$B$2</f>
        <v>265.0249021</v>
      </c>
      <c r="AK18" s="61">
        <f>AJ18-(((AJ18^2)*'Intermediate Sums'!$C$2*'Intermediate Sums'!$C$4)/1000)*Define!$B$2</f>
        <v>262.0983105</v>
      </c>
      <c r="AL18" s="61">
        <f>AK18-(((AK18^2)*'Intermediate Sums'!$C$2*'Intermediate Sums'!$C$4)/1000)*Define!$B$2</f>
        <v>259.2359969</v>
      </c>
      <c r="AM18" s="61">
        <f>AL18-(((AL18^2)*'Intermediate Sums'!$C$2*'Intermediate Sums'!$C$4)/1000)*Define!$B$2</f>
        <v>256.4358594</v>
      </c>
      <c r="AN18" s="61">
        <f>AM18-(((AM18^2)*'Intermediate Sums'!$C$2*'Intermediate Sums'!$C$4)/1000)*Define!$B$2</f>
        <v>253.6958864</v>
      </c>
      <c r="AO18" s="61">
        <f>AN18-(((AN18^2)*'Intermediate Sums'!$C$2*'Intermediate Sums'!$C$4)/1000)*Define!$B$2</f>
        <v>251.014153</v>
      </c>
      <c r="AP18" s="61">
        <f>AO18-(((AO18^2)*'Intermediate Sums'!$C$2*'Intermediate Sums'!$C$4)/1000)*Define!$B$2</f>
        <v>248.3888153</v>
      </c>
    </row>
    <row r="20">
      <c r="A20" s="1" t="s">
        <v>49</v>
      </c>
      <c r="B20" s="1">
        <v>0.0</v>
      </c>
      <c r="C20" s="1">
        <v>1.0</v>
      </c>
      <c r="D20" s="1">
        <v>2.0</v>
      </c>
      <c r="E20" s="1">
        <v>3.0</v>
      </c>
      <c r="F20" s="1">
        <v>4.0</v>
      </c>
      <c r="G20" s="1">
        <v>5.0</v>
      </c>
      <c r="H20" s="1">
        <v>6.0</v>
      </c>
      <c r="I20" s="1">
        <v>7.0</v>
      </c>
      <c r="J20" s="1">
        <v>8.0</v>
      </c>
      <c r="K20" s="1">
        <v>9.0</v>
      </c>
      <c r="L20" s="1">
        <v>10.0</v>
      </c>
      <c r="M20" s="1">
        <v>11.0</v>
      </c>
      <c r="N20" s="1">
        <v>12.0</v>
      </c>
      <c r="O20" s="1">
        <v>13.0</v>
      </c>
      <c r="P20" s="1">
        <v>14.0</v>
      </c>
      <c r="Q20" s="1">
        <v>15.0</v>
      </c>
      <c r="R20" s="1">
        <v>16.0</v>
      </c>
      <c r="S20" s="1">
        <v>17.0</v>
      </c>
      <c r="T20" s="1">
        <v>18.0</v>
      </c>
      <c r="U20" s="1">
        <v>19.0</v>
      </c>
      <c r="V20" s="1">
        <v>20.0</v>
      </c>
      <c r="W20" s="1">
        <v>21.0</v>
      </c>
      <c r="X20" s="1">
        <v>22.0</v>
      </c>
      <c r="Y20" s="1">
        <v>23.0</v>
      </c>
      <c r="Z20" s="1">
        <v>24.0</v>
      </c>
      <c r="AA20" s="1">
        <v>25.0</v>
      </c>
      <c r="AB20" s="1">
        <v>26.0</v>
      </c>
      <c r="AC20" s="1">
        <v>27.0</v>
      </c>
      <c r="AD20" s="1">
        <v>28.0</v>
      </c>
      <c r="AE20" s="1">
        <v>29.0</v>
      </c>
      <c r="AF20" s="1">
        <v>30.0</v>
      </c>
      <c r="AG20" s="1">
        <v>31.0</v>
      </c>
      <c r="AH20" s="1">
        <v>32.0</v>
      </c>
      <c r="AI20" s="1">
        <v>33.0</v>
      </c>
      <c r="AJ20" s="1">
        <v>34.0</v>
      </c>
      <c r="AK20" s="1">
        <v>35.0</v>
      </c>
      <c r="AL20" s="1">
        <v>36.0</v>
      </c>
      <c r="AM20" s="1">
        <v>37.0</v>
      </c>
      <c r="AN20" s="1">
        <v>38.0</v>
      </c>
      <c r="AO20" s="1">
        <v>39.0</v>
      </c>
      <c r="AP20" s="1">
        <v>40.0</v>
      </c>
    </row>
    <row r="21">
      <c r="A21" s="1" t="s">
        <v>51</v>
      </c>
      <c r="B21" s="61">
        <f>(B24/1000)*Define!$B$2</f>
        <v>17.5</v>
      </c>
      <c r="C21" s="61">
        <f>(C24/1000)*Define!$B$2</f>
        <v>16.734375</v>
      </c>
      <c r="D21" s="61">
        <f>(D24/1000)*Define!$B$2</f>
        <v>16.03427673</v>
      </c>
      <c r="E21" s="61">
        <f>(E24/1000)*Define!$B$2</f>
        <v>15.39153166</v>
      </c>
      <c r="F21" s="61">
        <f>(F24/1000)*Define!$B$2</f>
        <v>14.79928354</v>
      </c>
      <c r="G21" s="61">
        <f>(G24/1000)*Define!$B$2</f>
        <v>14.25173656</v>
      </c>
      <c r="H21" s="61">
        <f>(H24/1000)*Define!$B$2</f>
        <v>13.74395657</v>
      </c>
      <c r="I21" s="61">
        <f>(I24/1000)*Define!$B$2</f>
        <v>13.27171571</v>
      </c>
      <c r="J21" s="61">
        <f>(J24/1000)*Define!$B$2</f>
        <v>12.83136962</v>
      </c>
      <c r="K21" s="61">
        <f>(K24/1000)*Define!$B$2</f>
        <v>12.4197595</v>
      </c>
      <c r="L21" s="61">
        <f>(L24/1000)*Define!$B$2</f>
        <v>12.03413344</v>
      </c>
      <c r="M21" s="61">
        <f>(M24/1000)*Define!$B$2</f>
        <v>11.67208252</v>
      </c>
      <c r="N21" s="61">
        <f>(N24/1000)*Define!$B$2</f>
        <v>11.33148874</v>
      </c>
      <c r="O21" s="61">
        <f>(O24/1000)*Define!$B$2</f>
        <v>11.01048215</v>
      </c>
      <c r="P21" s="61">
        <f>(P24/1000)*Define!$B$2</f>
        <v>10.70740536</v>
      </c>
      <c r="Q21" s="61">
        <f>(Q24/1000)*Define!$B$2</f>
        <v>10.42078403</v>
      </c>
      <c r="R21" s="61">
        <f>(R24/1000)*Define!$B$2</f>
        <v>10.14930218</v>
      </c>
      <c r="S21" s="61">
        <f>(S24/1000)*Define!$B$2</f>
        <v>9.891781347</v>
      </c>
      <c r="T21" s="61">
        <f>(T24/1000)*Define!$B$2</f>
        <v>9.647163002</v>
      </c>
      <c r="U21" s="61">
        <f>(U24/1000)*Define!$B$2</f>
        <v>9.414493617</v>
      </c>
      <c r="V21" s="61">
        <f>(V24/1000)*Define!$B$2</f>
        <v>9.192911892</v>
      </c>
      <c r="W21" s="61">
        <f>(W24/1000)*Define!$B$2</f>
        <v>8.981637819</v>
      </c>
      <c r="X21" s="61">
        <f>(X24/1000)*Define!$B$2</f>
        <v>8.779963274</v>
      </c>
      <c r="Y21" s="61">
        <f>(Y24/1000)*Define!$B$2</f>
        <v>8.587243886</v>
      </c>
      <c r="Z21" s="61">
        <f>(Z24/1000)*Define!$B$2</f>
        <v>8.402891993</v>
      </c>
      <c r="AA21" s="61">
        <f>(AA24/1000)*Define!$B$2</f>
        <v>8.226370508</v>
      </c>
      <c r="AB21" s="61">
        <f>(AB24/1000)*Define!$B$2</f>
        <v>8.057187579</v>
      </c>
      <c r="AC21" s="61">
        <f>(AC24/1000)*Define!$B$2</f>
        <v>7.894891899</v>
      </c>
      <c r="AD21" s="61">
        <f>(AD24/1000)*Define!$B$2</f>
        <v>7.739068604</v>
      </c>
      <c r="AE21" s="61">
        <f>(AE24/1000)*Define!$B$2</f>
        <v>7.589335647</v>
      </c>
      <c r="AF21" s="61">
        <f>(AF24/1000)*Define!$B$2</f>
        <v>7.445340608</v>
      </c>
      <c r="AG21" s="61">
        <f>(AG24/1000)*Define!$B$2</f>
        <v>7.306757866</v>
      </c>
      <c r="AH21" s="61">
        <f>(AH24/1000)*Define!$B$2</f>
        <v>7.17328609</v>
      </c>
      <c r="AI21" s="61">
        <f>(AI24/1000)*Define!$B$2</f>
        <v>7.044646007</v>
      </c>
      <c r="AJ21" s="61">
        <f>(AJ24/1000)*Define!$B$2</f>
        <v>6.920578413</v>
      </c>
      <c r="AK21" s="61">
        <f>(AK24/1000)*Define!$B$2</f>
        <v>6.800842399</v>
      </c>
      <c r="AL21" s="61">
        <f>(AL24/1000)*Define!$B$2</f>
        <v>6.685213756</v>
      </c>
      <c r="AM21" s="61">
        <f>(AM24/1000)*Define!$B$2</f>
        <v>6.573483548</v>
      </c>
      <c r="AN21" s="61">
        <f>(AN24/1000)*Define!$B$2</f>
        <v>6.465456834</v>
      </c>
      <c r="AO21" s="61">
        <f>(AO24/1000)*Define!$B$2</f>
        <v>6.360951503</v>
      </c>
      <c r="AP21" s="61">
        <f>(AP24/1000)*Define!$B$2</f>
        <v>6.259797243</v>
      </c>
    </row>
    <row r="22">
      <c r="A22" s="1" t="str">
        <f>CONCATENATE(Main!A5, " (meters)")</f>
        <v>KTS100 MK8 (meters)</v>
      </c>
      <c r="B22" s="61">
        <f>B21</f>
        <v>17.5</v>
      </c>
      <c r="C22" s="61">
        <f t="shared" ref="C22:AP22" si="2">B22+C21</f>
        <v>34.234375</v>
      </c>
      <c r="D22" s="61">
        <f t="shared" si="2"/>
        <v>50.26865173</v>
      </c>
      <c r="E22" s="61">
        <f t="shared" si="2"/>
        <v>65.66018339</v>
      </c>
      <c r="F22" s="61">
        <f t="shared" si="2"/>
        <v>80.45946693</v>
      </c>
      <c r="G22" s="61">
        <f t="shared" si="2"/>
        <v>94.71120349</v>
      </c>
      <c r="H22" s="61">
        <f t="shared" si="2"/>
        <v>108.4551601</v>
      </c>
      <c r="I22" s="61">
        <f t="shared" si="2"/>
        <v>121.7268758</v>
      </c>
      <c r="J22" s="61">
        <f t="shared" si="2"/>
        <v>134.5582454</v>
      </c>
      <c r="K22" s="61">
        <f t="shared" si="2"/>
        <v>146.9780049</v>
      </c>
      <c r="L22" s="61">
        <f t="shared" si="2"/>
        <v>159.0121383</v>
      </c>
      <c r="M22" s="61">
        <f t="shared" si="2"/>
        <v>170.6842209</v>
      </c>
      <c r="N22" s="61">
        <f t="shared" si="2"/>
        <v>182.0157096</v>
      </c>
      <c r="O22" s="61">
        <f t="shared" si="2"/>
        <v>193.0261917</v>
      </c>
      <c r="P22" s="61">
        <f t="shared" si="2"/>
        <v>203.7335971</v>
      </c>
      <c r="Q22" s="61">
        <f t="shared" si="2"/>
        <v>214.1543811</v>
      </c>
      <c r="R22" s="61">
        <f t="shared" si="2"/>
        <v>224.3036833</v>
      </c>
      <c r="S22" s="61">
        <f t="shared" si="2"/>
        <v>234.1954647</v>
      </c>
      <c r="T22" s="61">
        <f t="shared" si="2"/>
        <v>243.8426277</v>
      </c>
      <c r="U22" s="61">
        <f t="shared" si="2"/>
        <v>253.2571213</v>
      </c>
      <c r="V22" s="61">
        <f t="shared" si="2"/>
        <v>262.4500332</v>
      </c>
      <c r="W22" s="61">
        <f t="shared" si="2"/>
        <v>271.431671</v>
      </c>
      <c r="X22" s="61">
        <f t="shared" si="2"/>
        <v>280.2116343</v>
      </c>
      <c r="Y22" s="61">
        <f t="shared" si="2"/>
        <v>288.7988782</v>
      </c>
      <c r="Z22" s="61">
        <f t="shared" si="2"/>
        <v>297.2017702</v>
      </c>
      <c r="AA22" s="61">
        <f t="shared" si="2"/>
        <v>305.4281407</v>
      </c>
      <c r="AB22" s="61">
        <f t="shared" si="2"/>
        <v>313.4853282</v>
      </c>
      <c r="AC22" s="61">
        <f t="shared" si="2"/>
        <v>321.3802201</v>
      </c>
      <c r="AD22" s="61">
        <f t="shared" si="2"/>
        <v>329.1192887</v>
      </c>
      <c r="AE22" s="61">
        <f t="shared" si="2"/>
        <v>336.7086244</v>
      </c>
      <c r="AF22" s="61">
        <f t="shared" si="2"/>
        <v>344.153965</v>
      </c>
      <c r="AG22" s="61">
        <f t="shared" si="2"/>
        <v>351.4607229</v>
      </c>
      <c r="AH22" s="61">
        <f t="shared" si="2"/>
        <v>358.634009</v>
      </c>
      <c r="AI22" s="61">
        <f t="shared" si="2"/>
        <v>365.678655</v>
      </c>
      <c r="AJ22" s="61">
        <f t="shared" si="2"/>
        <v>372.5992334</v>
      </c>
      <c r="AK22" s="61">
        <f t="shared" si="2"/>
        <v>379.4000758</v>
      </c>
      <c r="AL22" s="61">
        <f t="shared" si="2"/>
        <v>386.0852895</v>
      </c>
      <c r="AM22" s="61">
        <f t="shared" si="2"/>
        <v>392.6587731</v>
      </c>
      <c r="AN22" s="61">
        <f t="shared" si="2"/>
        <v>399.1242299</v>
      </c>
      <c r="AO22" s="61">
        <f t="shared" si="2"/>
        <v>405.4851814</v>
      </c>
      <c r="AP22" s="61">
        <f t="shared" si="2"/>
        <v>411.7449787</v>
      </c>
    </row>
    <row r="23">
      <c r="A23" s="1" t="s">
        <v>71</v>
      </c>
      <c r="B23" s="61">
        <f>(B20)*Define!$B$2</f>
        <v>0</v>
      </c>
      <c r="C23" s="61">
        <f>(C20)*Define!$B$2</f>
        <v>16.66666667</v>
      </c>
      <c r="D23" s="61">
        <f>(D20)*Define!$B$2</f>
        <v>33.33333333</v>
      </c>
      <c r="E23" s="61">
        <f>(E20)*Define!$B$2</f>
        <v>50</v>
      </c>
      <c r="F23" s="61">
        <f>(F20)*Define!$B$2</f>
        <v>66.66666667</v>
      </c>
      <c r="G23" s="61">
        <f>(G20)*Define!$B$2</f>
        <v>83.33333333</v>
      </c>
      <c r="H23" s="61">
        <f>(H20)*Define!$B$2</f>
        <v>100</v>
      </c>
      <c r="I23" s="61">
        <f>(I20)*Define!$B$2</f>
        <v>116.6666667</v>
      </c>
      <c r="J23" s="61">
        <f>(J20)*Define!$B$2</f>
        <v>133.3333333</v>
      </c>
      <c r="K23" s="61">
        <f>(K20)*Define!$B$2</f>
        <v>150</v>
      </c>
      <c r="L23" s="61">
        <f>(L20)*Define!$B$2</f>
        <v>166.6666667</v>
      </c>
      <c r="M23" s="61">
        <f>(M20)*Define!$B$2</f>
        <v>183.3333333</v>
      </c>
      <c r="N23" s="61">
        <f>(N20)*Define!$B$2</f>
        <v>200</v>
      </c>
      <c r="O23" s="61">
        <f>(O20)*Define!$B$2</f>
        <v>216.6666667</v>
      </c>
      <c r="P23" s="61">
        <f>(P20)*Define!$B$2</f>
        <v>233.3333333</v>
      </c>
      <c r="Q23" s="61">
        <f>(Q20)*Define!$B$2</f>
        <v>250</v>
      </c>
      <c r="R23" s="61">
        <f>(R20)*Define!$B$2</f>
        <v>266.6666667</v>
      </c>
      <c r="S23" s="61">
        <f>(S20)*Define!$B$2</f>
        <v>283.3333333</v>
      </c>
      <c r="T23" s="61">
        <f>(T20)*Define!$B$2</f>
        <v>300</v>
      </c>
      <c r="U23" s="61">
        <f>(U20)*Define!$B$2</f>
        <v>316.6666667</v>
      </c>
      <c r="V23" s="61">
        <f>(V20)*Define!$B$2</f>
        <v>333.3333333</v>
      </c>
      <c r="W23" s="61">
        <f>(W20)*Define!$B$2</f>
        <v>350</v>
      </c>
      <c r="X23" s="61">
        <f>(X20)*Define!$B$2</f>
        <v>366.6666667</v>
      </c>
      <c r="Y23" s="61">
        <f>(Y20)*Define!$B$2</f>
        <v>383.3333333</v>
      </c>
      <c r="Z23" s="61">
        <f>(Z20)*Define!$B$2</f>
        <v>400</v>
      </c>
      <c r="AA23" s="61">
        <f>(AA20)*Define!$B$2</f>
        <v>416.6666667</v>
      </c>
      <c r="AB23" s="61">
        <f>(AB20)*Define!$B$2</f>
        <v>433.3333333</v>
      </c>
      <c r="AC23" s="61">
        <f>(AC20)*Define!$B$2</f>
        <v>450</v>
      </c>
      <c r="AD23" s="61">
        <f>(AD20)*Define!$B$2</f>
        <v>466.6666667</v>
      </c>
      <c r="AE23" s="61">
        <f>(AE20)*Define!$B$2</f>
        <v>483.3333333</v>
      </c>
      <c r="AF23" s="61">
        <f>(AF20)*Define!$B$2</f>
        <v>500</v>
      </c>
      <c r="AG23" s="61">
        <f>(AG20)*Define!$B$2</f>
        <v>516.6666667</v>
      </c>
      <c r="AH23" s="61">
        <f>(AH20)*Define!$B$2</f>
        <v>533.3333333</v>
      </c>
      <c r="AI23" s="61">
        <f>(AI20)*Define!$B$2</f>
        <v>550</v>
      </c>
      <c r="AJ23" s="61">
        <f>(AJ20)*Define!$B$2</f>
        <v>566.6666667</v>
      </c>
      <c r="AK23" s="61">
        <f>(AK20)*Define!$B$2</f>
        <v>583.3333333</v>
      </c>
      <c r="AL23" s="61">
        <f>(AL20)*Define!$B$2</f>
        <v>600</v>
      </c>
      <c r="AM23" s="61">
        <f>(AM20)*Define!$B$2</f>
        <v>616.6666667</v>
      </c>
      <c r="AN23" s="61">
        <f>(AN20)*Define!$B$2</f>
        <v>633.3333333</v>
      </c>
      <c r="AO23" s="61">
        <f>(AO20)*Define!$B$2</f>
        <v>650</v>
      </c>
      <c r="AP23" s="61">
        <f>(AP20)*Define!$B$2</f>
        <v>666.6666667</v>
      </c>
    </row>
    <row r="24">
      <c r="A24" s="1" t="s">
        <v>72</v>
      </c>
      <c r="B24" s="61">
        <f>'Intermediate Sums'!$B$9*'Intermediate Sums'!$B$13</f>
        <v>1050</v>
      </c>
      <c r="C24" s="61">
        <f>B24-(((B24^2)*'Intermediate Sums'!$C$9*'Intermediate Sums'!$C$11)/1000)*Define!$B$2</f>
        <v>1004.0625</v>
      </c>
      <c r="D24" s="61">
        <f>C24-(((C24^2)*'Intermediate Sums'!$C$9*'Intermediate Sums'!$C$11)/1000)*Define!$B$2</f>
        <v>962.056604</v>
      </c>
      <c r="E24" s="61">
        <f>D24-(((D24^2)*'Intermediate Sums'!$C$9*'Intermediate Sums'!$C$11)/1000)*Define!$B$2</f>
        <v>923.4918994</v>
      </c>
      <c r="F24" s="61">
        <f>E24-(((E24^2)*'Intermediate Sums'!$C$9*'Intermediate Sums'!$C$11)/1000)*Define!$B$2</f>
        <v>887.9570124</v>
      </c>
      <c r="G24" s="61">
        <f>F24-(((F24^2)*'Intermediate Sums'!$C$9*'Intermediate Sums'!$C$11)/1000)*Define!$B$2</f>
        <v>855.1041934</v>
      </c>
      <c r="H24" s="61">
        <f>G24-(((G24^2)*'Intermediate Sums'!$C$9*'Intermediate Sums'!$C$11)/1000)*Define!$B$2</f>
        <v>824.6373942</v>
      </c>
      <c r="I24" s="61">
        <f>H24-(((H24^2)*'Intermediate Sums'!$C$9*'Intermediate Sums'!$C$11)/1000)*Define!$B$2</f>
        <v>796.3029429</v>
      </c>
      <c r="J24" s="61">
        <f>I24-(((I24^2)*'Intermediate Sums'!$C$9*'Intermediate Sums'!$C$11)/1000)*Define!$B$2</f>
        <v>769.8821772</v>
      </c>
      <c r="K24" s="61">
        <f>J24-(((J24^2)*'Intermediate Sums'!$C$9*'Intermediate Sums'!$C$11)/1000)*Define!$B$2</f>
        <v>745.1855702</v>
      </c>
      <c r="L24" s="61">
        <f>K24-(((K24^2)*'Intermediate Sums'!$C$9*'Intermediate Sums'!$C$11)/1000)*Define!$B$2</f>
        <v>722.0480063</v>
      </c>
      <c r="M24" s="61">
        <f>L24-(((L24^2)*'Intermediate Sums'!$C$9*'Intermediate Sums'!$C$11)/1000)*Define!$B$2</f>
        <v>700.3249512</v>
      </c>
      <c r="N24" s="61">
        <f>M24-(((M24^2)*'Intermediate Sums'!$C$9*'Intermediate Sums'!$C$11)/1000)*Define!$B$2</f>
        <v>679.8893246</v>
      </c>
      <c r="O24" s="61">
        <f>N24-(((N24^2)*'Intermediate Sums'!$C$9*'Intermediate Sums'!$C$11)/1000)*Define!$B$2</f>
        <v>660.628929</v>
      </c>
      <c r="P24" s="61">
        <f>O24-(((O24^2)*'Intermediate Sums'!$C$9*'Intermediate Sums'!$C$11)/1000)*Define!$B$2</f>
        <v>642.4443215</v>
      </c>
      <c r="Q24" s="61">
        <f>P24-(((P24^2)*'Intermediate Sums'!$C$9*'Intermediate Sums'!$C$11)/1000)*Define!$B$2</f>
        <v>625.247042</v>
      </c>
      <c r="R24" s="61">
        <f>Q24-(((Q24^2)*'Intermediate Sums'!$C$9*'Intermediate Sums'!$C$11)/1000)*Define!$B$2</f>
        <v>608.9581311</v>
      </c>
      <c r="S24" s="61">
        <f>R24-(((R24^2)*'Intermediate Sums'!$C$9*'Intermediate Sums'!$C$11)/1000)*Define!$B$2</f>
        <v>593.5068808</v>
      </c>
      <c r="T24" s="61">
        <f>S24-(((S24^2)*'Intermediate Sums'!$C$9*'Intermediate Sums'!$C$11)/1000)*Define!$B$2</f>
        <v>578.8297801</v>
      </c>
      <c r="U24" s="61">
        <f>T24-(((T24^2)*'Intermediate Sums'!$C$9*'Intermediate Sums'!$C$11)/1000)*Define!$B$2</f>
        <v>564.869617</v>
      </c>
      <c r="V24" s="61">
        <f>U24-(((U24^2)*'Intermediate Sums'!$C$9*'Intermediate Sums'!$C$11)/1000)*Define!$B$2</f>
        <v>551.5747135</v>
      </c>
      <c r="W24" s="61">
        <f>V24-(((V24^2)*'Intermediate Sums'!$C$9*'Intermediate Sums'!$C$11)/1000)*Define!$B$2</f>
        <v>538.8982691</v>
      </c>
      <c r="X24" s="61">
        <f>W24-(((W24^2)*'Intermediate Sums'!$C$9*'Intermediate Sums'!$C$11)/1000)*Define!$B$2</f>
        <v>526.7977964</v>
      </c>
      <c r="Y24" s="61">
        <f>X24-(((X24^2)*'Intermediate Sums'!$C$9*'Intermediate Sums'!$C$11)/1000)*Define!$B$2</f>
        <v>515.2346332</v>
      </c>
      <c r="Z24" s="61">
        <f>Y24-(((Y24^2)*'Intermediate Sums'!$C$9*'Intermediate Sums'!$C$11)/1000)*Define!$B$2</f>
        <v>504.1735196</v>
      </c>
      <c r="AA24" s="61">
        <f>Z24-(((Z24^2)*'Intermediate Sums'!$C$9*'Intermediate Sums'!$C$11)/1000)*Define!$B$2</f>
        <v>493.5822305</v>
      </c>
      <c r="AB24" s="61">
        <f>AA24-(((AA24^2)*'Intermediate Sums'!$C$9*'Intermediate Sums'!$C$11)/1000)*Define!$B$2</f>
        <v>483.4312547</v>
      </c>
      <c r="AC24" s="61">
        <f>AB24-(((AB24^2)*'Intermediate Sums'!$C$9*'Intermediate Sums'!$C$11)/1000)*Define!$B$2</f>
        <v>473.693514</v>
      </c>
      <c r="AD24" s="61">
        <f>AC24-(((AC24^2)*'Intermediate Sums'!$C$9*'Intermediate Sums'!$C$11)/1000)*Define!$B$2</f>
        <v>464.3441162</v>
      </c>
      <c r="AE24" s="61">
        <f>AD24-(((AD24^2)*'Intermediate Sums'!$C$9*'Intermediate Sums'!$C$11)/1000)*Define!$B$2</f>
        <v>455.3601388</v>
      </c>
      <c r="AF24" s="61">
        <f>AE24-(((AE24^2)*'Intermediate Sums'!$C$9*'Intermediate Sums'!$C$11)/1000)*Define!$B$2</f>
        <v>446.7204365</v>
      </c>
      <c r="AG24" s="61">
        <f>AF24-(((AF24^2)*'Intermediate Sums'!$C$9*'Intermediate Sums'!$C$11)/1000)*Define!$B$2</f>
        <v>438.405472</v>
      </c>
      <c r="AH24" s="61">
        <f>AG24-(((AG24^2)*'Intermediate Sums'!$C$9*'Intermediate Sums'!$C$11)/1000)*Define!$B$2</f>
        <v>430.3971654</v>
      </c>
      <c r="AI24" s="61">
        <f>AH24-(((AH24^2)*'Intermediate Sums'!$C$9*'Intermediate Sums'!$C$11)/1000)*Define!$B$2</f>
        <v>422.6787604</v>
      </c>
      <c r="AJ24" s="61">
        <f>AI24-(((AI24^2)*'Intermediate Sums'!$C$9*'Intermediate Sums'!$C$11)/1000)*Define!$B$2</f>
        <v>415.2347048</v>
      </c>
      <c r="AK24" s="61">
        <f>AJ24-(((AJ24^2)*'Intermediate Sums'!$C$9*'Intermediate Sums'!$C$11)/1000)*Define!$B$2</f>
        <v>408.050544</v>
      </c>
      <c r="AL24" s="61">
        <f>AK24-(((AK24^2)*'Intermediate Sums'!$C$9*'Intermediate Sums'!$C$11)/1000)*Define!$B$2</f>
        <v>401.1128254</v>
      </c>
      <c r="AM24" s="61">
        <f>AL24-(((AL24^2)*'Intermediate Sums'!$C$9*'Intermediate Sums'!$C$11)/1000)*Define!$B$2</f>
        <v>394.4090129</v>
      </c>
      <c r="AN24" s="61">
        <f>AM24-(((AM24^2)*'Intermediate Sums'!$C$9*'Intermediate Sums'!$C$11)/1000)*Define!$B$2</f>
        <v>387.92741</v>
      </c>
      <c r="AO24" s="61">
        <f>AN24-(((AN24^2)*'Intermediate Sums'!$C$9*'Intermediate Sums'!$C$11)/1000)*Define!$B$2</f>
        <v>381.6570902</v>
      </c>
      <c r="AP24" s="61">
        <f>AO24-(((AO24^2)*'Intermediate Sums'!$C$9*'Intermediate Sums'!$C$11)/1000)*Define!$B$2</f>
        <v>375.5878346</v>
      </c>
    </row>
    <row r="26">
      <c r="A26" s="1" t="s">
        <v>76</v>
      </c>
      <c r="B26" s="1">
        <f>60000/'Intermediate Sums'!G2</f>
        <v>75</v>
      </c>
    </row>
    <row r="27">
      <c r="A27" s="1" t="s">
        <v>77</v>
      </c>
      <c r="B27" s="1">
        <f>60000/'Intermediate Sums'!G9</f>
        <v>116.7315175</v>
      </c>
    </row>
    <row r="29">
      <c r="A29" s="1" t="s">
        <v>78</v>
      </c>
      <c r="B29" s="1">
        <v>0.0</v>
      </c>
      <c r="C29" s="1">
        <v>10.0</v>
      </c>
      <c r="D29" s="1">
        <v>20.0</v>
      </c>
      <c r="E29" s="1">
        <v>35.0</v>
      </c>
      <c r="F29" s="1">
        <v>50.0</v>
      </c>
      <c r="G29" s="1">
        <v>70.0</v>
      </c>
      <c r="H29" s="1">
        <v>80.0</v>
      </c>
    </row>
    <row r="30">
      <c r="B30" s="2">
        <f>CEILING(100/'Intermediate Sums'!I$2,1)</f>
        <v>3</v>
      </c>
    </row>
    <row r="31">
      <c r="B31" s="2">
        <f>(B30-1)*60000/'Intermediate Sums'!G2</f>
        <v>150</v>
      </c>
    </row>
    <row r="32">
      <c r="A32" s="1" t="s">
        <v>79</v>
      </c>
      <c r="B32" s="1">
        <v>0.0</v>
      </c>
      <c r="C32" s="1">
        <v>10.0</v>
      </c>
      <c r="D32" s="1">
        <v>20.0</v>
      </c>
      <c r="E32" s="1">
        <v>35.0</v>
      </c>
      <c r="F32" s="1">
        <v>50.0</v>
      </c>
      <c r="G32" s="1">
        <v>70.0</v>
      </c>
      <c r="H32" s="1">
        <v>80.0</v>
      </c>
    </row>
    <row r="33">
      <c r="B33" s="2">
        <f>CEILING(100/(HLOOKUP(B$32,'Intermediate Sums'!$I$8:$O$9,2,true)*('Intermediate Sums'!$H$9+'Intermediate Sums'!$B$11)),1)</f>
        <v>3</v>
      </c>
    </row>
    <row r="34">
      <c r="B34" s="2">
        <f>(B33-1)*60000/'Intermediate Sums'!G9</f>
        <v>233.463035</v>
      </c>
    </row>
    <row r="36">
      <c r="A36" s="1" t="s">
        <v>80</v>
      </c>
      <c r="B36" s="2">
        <f t="shared" ref="B36:H36" si="3">CEILING(100/B43,1)</f>
        <v>3</v>
      </c>
      <c r="C36" s="2">
        <f t="shared" si="3"/>
        <v>3</v>
      </c>
      <c r="D36" s="2">
        <f t="shared" si="3"/>
        <v>3</v>
      </c>
      <c r="E36" s="2">
        <f t="shared" si="3"/>
        <v>4</v>
      </c>
      <c r="F36" s="2">
        <f t="shared" si="3"/>
        <v>5</v>
      </c>
      <c r="G36" s="2">
        <f t="shared" si="3"/>
        <v>5</v>
      </c>
      <c r="H36" s="2">
        <f t="shared" si="3"/>
        <v>6</v>
      </c>
    </row>
    <row r="37">
      <c r="A37" s="1" t="s">
        <v>81</v>
      </c>
      <c r="B37" s="2">
        <f>(B36-1)*60000/'Intermediate Sums'!$G2</f>
        <v>150</v>
      </c>
      <c r="C37" s="2">
        <f>(C36-1)*60000/'Intermediate Sums'!$G2</f>
        <v>150</v>
      </c>
      <c r="D37" s="2">
        <f>(D36-1)*60000/'Intermediate Sums'!$G2</f>
        <v>150</v>
      </c>
      <c r="E37" s="2">
        <f>(E36-1)*60000/'Intermediate Sums'!$G2</f>
        <v>225</v>
      </c>
      <c r="F37" s="2">
        <f>(F36-1)*60000/'Intermediate Sums'!$G2</f>
        <v>300</v>
      </c>
      <c r="G37" s="2">
        <f>(G36-1)*60000/'Intermediate Sums'!$G2</f>
        <v>300</v>
      </c>
      <c r="H37" s="2">
        <f>(H36-1)*60000/'Intermediate Sums'!$G2</f>
        <v>375</v>
      </c>
    </row>
    <row r="39">
      <c r="A39" s="1" t="s">
        <v>82</v>
      </c>
      <c r="B39" s="2">
        <f t="shared" ref="B39:H39" si="4">CEILING(100/B46,1)</f>
        <v>3</v>
      </c>
      <c r="C39" s="2">
        <f t="shared" si="4"/>
        <v>3</v>
      </c>
      <c r="D39" s="2">
        <f t="shared" si="4"/>
        <v>3</v>
      </c>
      <c r="E39" s="2">
        <f t="shared" si="4"/>
        <v>4</v>
      </c>
      <c r="F39" s="2">
        <f t="shared" si="4"/>
        <v>4</v>
      </c>
      <c r="G39" s="2">
        <f t="shared" si="4"/>
        <v>4</v>
      </c>
      <c r="H39" s="2">
        <f t="shared" si="4"/>
        <v>5</v>
      </c>
    </row>
    <row r="40">
      <c r="A40" s="1" t="s">
        <v>83</v>
      </c>
      <c r="B40" s="2">
        <f>(B39-1)*60000/'Intermediate Sums'!$G9</f>
        <v>233.463035</v>
      </c>
      <c r="C40" s="2">
        <f>(C39-1)*60000/'Intermediate Sums'!$G9</f>
        <v>233.463035</v>
      </c>
      <c r="D40" s="2">
        <f>(D39-1)*60000/'Intermediate Sums'!$G9</f>
        <v>233.463035</v>
      </c>
      <c r="E40" s="2">
        <f>(E39-1)*60000/'Intermediate Sums'!$G9</f>
        <v>350.1945525</v>
      </c>
      <c r="F40" s="2">
        <f>(F39-1)*60000/'Intermediate Sums'!$G9</f>
        <v>350.1945525</v>
      </c>
      <c r="G40" s="2">
        <f>(G39-1)*60000/'Intermediate Sums'!$G9</f>
        <v>350.1945525</v>
      </c>
      <c r="H40" s="2">
        <f>(H39-1)*60000/'Intermediate Sums'!$G9</f>
        <v>466.92607</v>
      </c>
    </row>
    <row r="41">
      <c r="A41" s="1"/>
      <c r="B41" s="1"/>
      <c r="C41" s="1"/>
      <c r="D41" s="1"/>
      <c r="E41" s="1"/>
      <c r="F41" s="1"/>
      <c r="G41" s="1"/>
      <c r="H41" s="1"/>
    </row>
    <row r="42">
      <c r="A42" s="1" t="s">
        <v>84</v>
      </c>
      <c r="B42" s="1">
        <v>0.0</v>
      </c>
      <c r="C42" s="1">
        <v>10.0</v>
      </c>
      <c r="D42" s="1">
        <v>20.0</v>
      </c>
      <c r="E42" s="1">
        <v>35.0</v>
      </c>
      <c r="F42" s="1">
        <v>50.0</v>
      </c>
      <c r="G42" s="1">
        <v>70.0</v>
      </c>
      <c r="H42" s="1">
        <v>80.0</v>
      </c>
    </row>
    <row r="43">
      <c r="B43" s="2">
        <f>B49*('Intermediate Sums'!$H$2+'Intermediate Sums'!$B$4)</f>
        <v>44.756</v>
      </c>
      <c r="C43" s="2">
        <f>C49*('Intermediate Sums'!$H$2+'Intermediate Sums'!$B$4)</f>
        <v>33.5</v>
      </c>
      <c r="D43" s="2">
        <f>D49*('Intermediate Sums'!$H$2+'Intermediate Sums'!$B$4)</f>
        <v>33.5</v>
      </c>
      <c r="E43" s="2">
        <f>E49*('Intermediate Sums'!$H$2+'Intermediate Sums'!$B$4)</f>
        <v>26.8</v>
      </c>
      <c r="F43" s="2">
        <f>F49*('Intermediate Sums'!$H$2+'Intermediate Sums'!$B$4)</f>
        <v>22.378</v>
      </c>
      <c r="G43" s="2">
        <f>G49*('Intermediate Sums'!$H$2+'Intermediate Sums'!$B$4)</f>
        <v>22.378</v>
      </c>
      <c r="H43" s="2">
        <f>H49*('Intermediate Sums'!$H$2+'Intermediate Sums'!$B$4)</f>
        <v>19.162</v>
      </c>
    </row>
    <row r="45">
      <c r="A45" s="1" t="s">
        <v>85</v>
      </c>
      <c r="B45" s="1">
        <v>0.0</v>
      </c>
      <c r="C45" s="1">
        <v>10.0</v>
      </c>
      <c r="D45" s="1">
        <v>20.0</v>
      </c>
      <c r="E45" s="1">
        <v>35.0</v>
      </c>
      <c r="F45" s="1">
        <v>50.0</v>
      </c>
      <c r="G45" s="1">
        <v>70.0</v>
      </c>
      <c r="H45" s="1">
        <v>80.0</v>
      </c>
    </row>
    <row r="46">
      <c r="B46" s="2">
        <f>B52*('Intermediate Sums'!$H$9+'Intermediate Sums'!$B$11)</f>
        <v>33.5</v>
      </c>
      <c r="C46" s="2">
        <f>C52*('Intermediate Sums'!$H$9+'Intermediate Sums'!$B$11)</f>
        <v>33.5</v>
      </c>
      <c r="D46" s="2">
        <f>D52*('Intermediate Sums'!$H$9+'Intermediate Sums'!$B$11)</f>
        <v>33.5</v>
      </c>
      <c r="E46" s="2">
        <f>E52*('Intermediate Sums'!$H$9+'Intermediate Sums'!$B$11)</f>
        <v>26.8</v>
      </c>
      <c r="F46" s="2">
        <f>F52*('Intermediate Sums'!$H$9+'Intermediate Sums'!$B$11)</f>
        <v>26.8</v>
      </c>
      <c r="G46" s="2">
        <f>G52*('Intermediate Sums'!$H$9+'Intermediate Sums'!$B$11)</f>
        <v>26.8</v>
      </c>
      <c r="H46" s="2">
        <f>H52*('Intermediate Sums'!$H$9+'Intermediate Sums'!$B$11)</f>
        <v>22.378</v>
      </c>
    </row>
    <row r="47">
      <c r="A47" s="1"/>
    </row>
    <row r="48">
      <c r="A48" s="1" t="s">
        <v>86</v>
      </c>
      <c r="B48" s="1">
        <v>0.0</v>
      </c>
      <c r="C48" s="1">
        <v>10.0</v>
      </c>
      <c r="D48" s="1">
        <v>20.0</v>
      </c>
      <c r="E48" s="1">
        <v>35.0</v>
      </c>
      <c r="F48" s="1">
        <v>50.0</v>
      </c>
      <c r="G48" s="1">
        <v>70.0</v>
      </c>
      <c r="H48" s="1">
        <v>80.0</v>
      </c>
    </row>
    <row r="49">
      <c r="B49" s="99">
        <f>(HLOOKUP(B$48,'Intermediate Sums'!$I$1:$O$2,2,true))</f>
        <v>33.4</v>
      </c>
      <c r="C49" s="99">
        <f>(HLOOKUP(C$48,'Intermediate Sums'!$I$1:$O$2,2,true))</f>
        <v>25</v>
      </c>
      <c r="D49" s="99">
        <f>(HLOOKUP(D$48,'Intermediate Sums'!$I$1:$O$2,2,true))</f>
        <v>25</v>
      </c>
      <c r="E49" s="99">
        <f>(HLOOKUP(E$48,'Intermediate Sums'!$I$1:$O$2,2,true))</f>
        <v>20</v>
      </c>
      <c r="F49" s="99">
        <f>(HLOOKUP(F$48,'Intermediate Sums'!$I$1:$O$2,2,true))</f>
        <v>16.7</v>
      </c>
      <c r="G49" s="99">
        <f>(HLOOKUP(G$48,'Intermediate Sums'!$I$1:$O$2,2,true))</f>
        <v>16.7</v>
      </c>
      <c r="H49" s="99">
        <f>(HLOOKUP(H$48,'Intermediate Sums'!$I$1:$O$2,2,true))</f>
        <v>14.3</v>
      </c>
    </row>
    <row r="51">
      <c r="A51" s="1" t="s">
        <v>87</v>
      </c>
      <c r="B51" s="1">
        <v>0.0</v>
      </c>
      <c r="C51" s="1">
        <v>10.0</v>
      </c>
      <c r="D51" s="1">
        <v>20.0</v>
      </c>
      <c r="E51" s="1">
        <v>35.0</v>
      </c>
      <c r="F51" s="1">
        <v>50.0</v>
      </c>
      <c r="G51" s="1">
        <v>70.0</v>
      </c>
      <c r="H51" s="1">
        <v>80.0</v>
      </c>
    </row>
    <row r="52">
      <c r="B52" s="99">
        <f>(HLOOKUP(B$51,'Intermediate Sums'!$I$8:$O$9,2,true))</f>
        <v>25</v>
      </c>
      <c r="C52" s="99">
        <f>(HLOOKUP(C$51,'Intermediate Sums'!$I$8:$O$9,2,true))</f>
        <v>25</v>
      </c>
      <c r="D52" s="99">
        <f>(HLOOKUP(D$51,'Intermediate Sums'!$I$8:$O$9,2,true))</f>
        <v>25</v>
      </c>
      <c r="E52" s="99">
        <f>(HLOOKUP(E$51,'Intermediate Sums'!$I$8:$O$9,2,true))</f>
        <v>20</v>
      </c>
      <c r="F52" s="99">
        <f>(HLOOKUP(F$51,'Intermediate Sums'!$I$8:$O$9,2,true))</f>
        <v>20</v>
      </c>
      <c r="G52" s="99">
        <f>(HLOOKUP(G$51,'Intermediate Sums'!$I$8:$O$9,2,true))</f>
        <v>20</v>
      </c>
      <c r="H52" s="99">
        <f>(HLOOKUP(H$51,'Intermediate Sums'!$I$8:$O$9,2,true))</f>
        <v>16.7</v>
      </c>
    </row>
    <row r="54">
      <c r="A54" s="1" t="s">
        <v>88</v>
      </c>
    </row>
    <row r="55">
      <c r="A55" s="1" t="s">
        <v>75</v>
      </c>
      <c r="B55" s="1">
        <v>0.0</v>
      </c>
      <c r="C55" s="1">
        <v>10.0</v>
      </c>
      <c r="D55" s="1">
        <v>20.0</v>
      </c>
      <c r="E55" s="1">
        <v>35.0</v>
      </c>
      <c r="F55" s="1">
        <v>50.0</v>
      </c>
      <c r="G55" s="1">
        <v>70.0</v>
      </c>
      <c r="H55" s="1">
        <v>80.0</v>
      </c>
    </row>
    <row r="56">
      <c r="A56" s="1">
        <v>0.0</v>
      </c>
      <c r="B56" s="2">
        <f t="shared" ref="B56:H56" si="5">100-$A56*HLOOKUP(B$55,$B$42:$H$43,2,true)</f>
        <v>100</v>
      </c>
      <c r="C56" s="2">
        <f t="shared" si="5"/>
        <v>100</v>
      </c>
      <c r="D56" s="2">
        <f t="shared" si="5"/>
        <v>100</v>
      </c>
      <c r="E56" s="2">
        <f t="shared" si="5"/>
        <v>100</v>
      </c>
      <c r="F56" s="2">
        <f t="shared" si="5"/>
        <v>100</v>
      </c>
      <c r="G56" s="2">
        <f t="shared" si="5"/>
        <v>100</v>
      </c>
      <c r="H56" s="2">
        <f t="shared" si="5"/>
        <v>100</v>
      </c>
    </row>
    <row r="57">
      <c r="A57" s="1">
        <v>1.0</v>
      </c>
      <c r="B57" s="2">
        <f t="shared" ref="B57:H57" si="6">100-$A57*HLOOKUP(B$55,$B$42:$H$43,2,true)</f>
        <v>55.244</v>
      </c>
      <c r="C57" s="2">
        <f t="shared" si="6"/>
        <v>66.5</v>
      </c>
      <c r="D57" s="2">
        <f t="shared" si="6"/>
        <v>66.5</v>
      </c>
      <c r="E57" s="2">
        <f t="shared" si="6"/>
        <v>73.2</v>
      </c>
      <c r="F57" s="2">
        <f t="shared" si="6"/>
        <v>77.622</v>
      </c>
      <c r="G57" s="2">
        <f t="shared" si="6"/>
        <v>77.622</v>
      </c>
      <c r="H57" s="2">
        <f t="shared" si="6"/>
        <v>80.838</v>
      </c>
    </row>
    <row r="58">
      <c r="A58" s="1">
        <v>2.0</v>
      </c>
      <c r="B58" s="2">
        <f t="shared" ref="B58:H58" si="7">100-$A58*HLOOKUP(B$55,$B$42:$H$43,2,true)</f>
        <v>10.488</v>
      </c>
      <c r="C58" s="2">
        <f t="shared" si="7"/>
        <v>33</v>
      </c>
      <c r="D58" s="2">
        <f t="shared" si="7"/>
        <v>33</v>
      </c>
      <c r="E58" s="2">
        <f t="shared" si="7"/>
        <v>46.4</v>
      </c>
      <c r="F58" s="2">
        <f t="shared" si="7"/>
        <v>55.244</v>
      </c>
      <c r="G58" s="2">
        <f t="shared" si="7"/>
        <v>55.244</v>
      </c>
      <c r="H58" s="2">
        <f t="shared" si="7"/>
        <v>61.676</v>
      </c>
    </row>
    <row r="59">
      <c r="A59" s="1">
        <v>3.0</v>
      </c>
      <c r="B59" s="2">
        <f t="shared" ref="B59:H59" si="8">100-$A59*HLOOKUP(B$55,$B$42:$H$43,2,true)</f>
        <v>-34.268</v>
      </c>
      <c r="C59" s="2">
        <f t="shared" si="8"/>
        <v>-0.5</v>
      </c>
      <c r="D59" s="2">
        <f t="shared" si="8"/>
        <v>-0.5</v>
      </c>
      <c r="E59" s="2">
        <f t="shared" si="8"/>
        <v>19.6</v>
      </c>
      <c r="F59" s="2">
        <f t="shared" si="8"/>
        <v>32.866</v>
      </c>
      <c r="G59" s="2">
        <f t="shared" si="8"/>
        <v>32.866</v>
      </c>
      <c r="H59" s="2">
        <f t="shared" si="8"/>
        <v>42.514</v>
      </c>
    </row>
    <row r="60">
      <c r="A60" s="1">
        <v>4.0</v>
      </c>
      <c r="B60" s="2">
        <f t="shared" ref="B60:H60" si="9">100-$A60*HLOOKUP(B$55,$B$42:$H$43,2,true)</f>
        <v>-79.024</v>
      </c>
      <c r="C60" s="2">
        <f t="shared" si="9"/>
        <v>-34</v>
      </c>
      <c r="D60" s="2">
        <f t="shared" si="9"/>
        <v>-34</v>
      </c>
      <c r="E60" s="2">
        <f t="shared" si="9"/>
        <v>-7.2</v>
      </c>
      <c r="F60" s="2">
        <f t="shared" si="9"/>
        <v>10.488</v>
      </c>
      <c r="G60" s="2">
        <f t="shared" si="9"/>
        <v>10.488</v>
      </c>
      <c r="H60" s="2">
        <f t="shared" si="9"/>
        <v>23.352</v>
      </c>
    </row>
    <row r="61">
      <c r="A61" s="1">
        <v>5.0</v>
      </c>
      <c r="B61" s="2">
        <f t="shared" ref="B61:H61" si="10">100-$A61*HLOOKUP(B$55,$B$42:$H$43,2,true)</f>
        <v>-123.78</v>
      </c>
      <c r="C61" s="2">
        <f t="shared" si="10"/>
        <v>-67.5</v>
      </c>
      <c r="D61" s="2">
        <f t="shared" si="10"/>
        <v>-67.5</v>
      </c>
      <c r="E61" s="2">
        <f t="shared" si="10"/>
        <v>-34</v>
      </c>
      <c r="F61" s="2">
        <f t="shared" si="10"/>
        <v>-11.89</v>
      </c>
      <c r="G61" s="2">
        <f t="shared" si="10"/>
        <v>-11.89</v>
      </c>
      <c r="H61" s="2">
        <f t="shared" si="10"/>
        <v>4.19</v>
      </c>
    </row>
    <row r="62">
      <c r="A62" s="1">
        <v>6.0</v>
      </c>
      <c r="B62" s="2">
        <f t="shared" ref="B62:H62" si="11">100-$A62*HLOOKUP(B$55,$B$42:$H$43,2,true)</f>
        <v>-168.536</v>
      </c>
      <c r="C62" s="2">
        <f t="shared" si="11"/>
        <v>-101</v>
      </c>
      <c r="D62" s="2">
        <f t="shared" si="11"/>
        <v>-101</v>
      </c>
      <c r="E62" s="2">
        <f t="shared" si="11"/>
        <v>-60.8</v>
      </c>
      <c r="F62" s="2">
        <f t="shared" si="11"/>
        <v>-34.268</v>
      </c>
      <c r="G62" s="2">
        <f t="shared" si="11"/>
        <v>-34.268</v>
      </c>
      <c r="H62" s="2">
        <f t="shared" si="11"/>
        <v>-14.972</v>
      </c>
    </row>
    <row r="63">
      <c r="A63" s="1">
        <v>7.0</v>
      </c>
      <c r="B63" s="2">
        <f t="shared" ref="B63:H63" si="12">100-$A63*HLOOKUP(B$55,$B$42:$H$43,2,true)</f>
        <v>-213.292</v>
      </c>
      <c r="C63" s="2">
        <f t="shared" si="12"/>
        <v>-134.5</v>
      </c>
      <c r="D63" s="2">
        <f t="shared" si="12"/>
        <v>-134.5</v>
      </c>
      <c r="E63" s="2">
        <f t="shared" si="12"/>
        <v>-87.6</v>
      </c>
      <c r="F63" s="2">
        <f t="shared" si="12"/>
        <v>-56.646</v>
      </c>
      <c r="G63" s="2">
        <f t="shared" si="12"/>
        <v>-56.646</v>
      </c>
      <c r="H63" s="2">
        <f t="shared" si="12"/>
        <v>-34.134</v>
      </c>
    </row>
    <row r="64">
      <c r="A64" s="1"/>
    </row>
    <row r="65">
      <c r="A65" s="1" t="s">
        <v>89</v>
      </c>
    </row>
    <row r="66">
      <c r="A66" s="1" t="s">
        <v>75</v>
      </c>
      <c r="B66" s="1">
        <v>0.0</v>
      </c>
      <c r="C66" s="1">
        <v>10.0</v>
      </c>
      <c r="D66" s="1">
        <v>20.0</v>
      </c>
      <c r="E66" s="1">
        <v>35.0</v>
      </c>
      <c r="F66" s="1">
        <v>50.0</v>
      </c>
      <c r="G66" s="1">
        <v>70.0</v>
      </c>
      <c r="H66" s="1">
        <v>80.0</v>
      </c>
    </row>
    <row r="67">
      <c r="A67" s="1">
        <v>0.0</v>
      </c>
      <c r="B67" s="2">
        <f t="shared" ref="B67:H67" si="13">100-$A67*HLOOKUP(B$66,$B$45:$H$46,2,true)</f>
        <v>100</v>
      </c>
      <c r="C67" s="2">
        <f t="shared" si="13"/>
        <v>100</v>
      </c>
      <c r="D67" s="2">
        <f t="shared" si="13"/>
        <v>100</v>
      </c>
      <c r="E67" s="2">
        <f t="shared" si="13"/>
        <v>100</v>
      </c>
      <c r="F67" s="2">
        <f t="shared" si="13"/>
        <v>100</v>
      </c>
      <c r="G67" s="2">
        <f t="shared" si="13"/>
        <v>100</v>
      </c>
      <c r="H67" s="2">
        <f t="shared" si="13"/>
        <v>100</v>
      </c>
    </row>
    <row r="68">
      <c r="A68" s="1">
        <v>1.0</v>
      </c>
      <c r="B68" s="2">
        <f t="shared" ref="B68:H68" si="14">100-$A68*HLOOKUP(B$66,$B$45:$H$46,2,true)</f>
        <v>66.5</v>
      </c>
      <c r="C68" s="2">
        <f t="shared" si="14"/>
        <v>66.5</v>
      </c>
      <c r="D68" s="2">
        <f t="shared" si="14"/>
        <v>66.5</v>
      </c>
      <c r="E68" s="2">
        <f t="shared" si="14"/>
        <v>73.2</v>
      </c>
      <c r="F68" s="2">
        <f t="shared" si="14"/>
        <v>73.2</v>
      </c>
      <c r="G68" s="2">
        <f t="shared" si="14"/>
        <v>73.2</v>
      </c>
      <c r="H68" s="2">
        <f t="shared" si="14"/>
        <v>77.622</v>
      </c>
    </row>
    <row r="69">
      <c r="A69" s="1">
        <v>2.0</v>
      </c>
      <c r="B69" s="2">
        <f t="shared" ref="B69:H69" si="15">100-$A69*HLOOKUP(B$66,$B$45:$H$46,2,true)</f>
        <v>33</v>
      </c>
      <c r="C69" s="2">
        <f t="shared" si="15"/>
        <v>33</v>
      </c>
      <c r="D69" s="2">
        <f t="shared" si="15"/>
        <v>33</v>
      </c>
      <c r="E69" s="2">
        <f t="shared" si="15"/>
        <v>46.4</v>
      </c>
      <c r="F69" s="2">
        <f t="shared" si="15"/>
        <v>46.4</v>
      </c>
      <c r="G69" s="2">
        <f t="shared" si="15"/>
        <v>46.4</v>
      </c>
      <c r="H69" s="2">
        <f t="shared" si="15"/>
        <v>55.244</v>
      </c>
    </row>
    <row r="70">
      <c r="A70" s="1">
        <v>3.0</v>
      </c>
      <c r="B70" s="2">
        <f t="shared" ref="B70:H70" si="16">100-$A70*HLOOKUP(B$66,$B$45:$H$46,2,true)</f>
        <v>-0.5</v>
      </c>
      <c r="C70" s="2">
        <f t="shared" si="16"/>
        <v>-0.5</v>
      </c>
      <c r="D70" s="2">
        <f t="shared" si="16"/>
        <v>-0.5</v>
      </c>
      <c r="E70" s="2">
        <f t="shared" si="16"/>
        <v>19.6</v>
      </c>
      <c r="F70" s="2">
        <f t="shared" si="16"/>
        <v>19.6</v>
      </c>
      <c r="G70" s="2">
        <f t="shared" si="16"/>
        <v>19.6</v>
      </c>
      <c r="H70" s="2">
        <f t="shared" si="16"/>
        <v>32.866</v>
      </c>
    </row>
    <row r="71">
      <c r="A71" s="1">
        <v>4.0</v>
      </c>
      <c r="B71" s="2">
        <f t="shared" ref="B71:H71" si="17">100-$A71*HLOOKUP(B$66,$B$45:$H$46,2,true)</f>
        <v>-34</v>
      </c>
      <c r="C71" s="2">
        <f t="shared" si="17"/>
        <v>-34</v>
      </c>
      <c r="D71" s="2">
        <f t="shared" si="17"/>
        <v>-34</v>
      </c>
      <c r="E71" s="2">
        <f t="shared" si="17"/>
        <v>-7.2</v>
      </c>
      <c r="F71" s="2">
        <f t="shared" si="17"/>
        <v>-7.2</v>
      </c>
      <c r="G71" s="2">
        <f t="shared" si="17"/>
        <v>-7.2</v>
      </c>
      <c r="H71" s="2">
        <f t="shared" si="17"/>
        <v>10.488</v>
      </c>
    </row>
    <row r="72">
      <c r="A72" s="1">
        <v>5.0</v>
      </c>
      <c r="B72" s="2">
        <f t="shared" ref="B72:H72" si="18">100-$A72*HLOOKUP(B$66,$B$45:$H$46,2,true)</f>
        <v>-67.5</v>
      </c>
      <c r="C72" s="2">
        <f t="shared" si="18"/>
        <v>-67.5</v>
      </c>
      <c r="D72" s="2">
        <f t="shared" si="18"/>
        <v>-67.5</v>
      </c>
      <c r="E72" s="2">
        <f t="shared" si="18"/>
        <v>-34</v>
      </c>
      <c r="F72" s="2">
        <f t="shared" si="18"/>
        <v>-34</v>
      </c>
      <c r="G72" s="2">
        <f t="shared" si="18"/>
        <v>-34</v>
      </c>
      <c r="H72" s="2">
        <f t="shared" si="18"/>
        <v>-11.89</v>
      </c>
    </row>
    <row r="73">
      <c r="A73" s="1">
        <v>6.0</v>
      </c>
      <c r="B73" s="2">
        <f t="shared" ref="B73:H73" si="19">100-$A73*HLOOKUP(B$66,$B$45:$H$46,2,true)</f>
        <v>-101</v>
      </c>
      <c r="C73" s="2">
        <f t="shared" si="19"/>
        <v>-101</v>
      </c>
      <c r="D73" s="2">
        <f t="shared" si="19"/>
        <v>-101</v>
      </c>
      <c r="E73" s="2">
        <f t="shared" si="19"/>
        <v>-60.8</v>
      </c>
      <c r="F73" s="2">
        <f t="shared" si="19"/>
        <v>-60.8</v>
      </c>
      <c r="G73" s="2">
        <f t="shared" si="19"/>
        <v>-60.8</v>
      </c>
      <c r="H73" s="2">
        <f t="shared" si="19"/>
        <v>-34.268</v>
      </c>
    </row>
    <row r="74">
      <c r="A74" s="1">
        <v>7.0</v>
      </c>
      <c r="B74" s="2">
        <f t="shared" ref="B74:H74" si="20">100-$A74*HLOOKUP(B$66,$B$45:$H$46,2,true)</f>
        <v>-134.5</v>
      </c>
      <c r="C74" s="2">
        <f t="shared" si="20"/>
        <v>-134.5</v>
      </c>
      <c r="D74" s="2">
        <f t="shared" si="20"/>
        <v>-134.5</v>
      </c>
      <c r="E74" s="2">
        <f t="shared" si="20"/>
        <v>-87.6</v>
      </c>
      <c r="F74" s="2">
        <f t="shared" si="20"/>
        <v>-87.6</v>
      </c>
      <c r="G74" s="2">
        <f t="shared" si="20"/>
        <v>-87.6</v>
      </c>
      <c r="H74" s="2">
        <f t="shared" si="20"/>
        <v>-56.646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3.75"/>
    <col customWidth="1" min="3" max="3" width="6.13"/>
    <col customWidth="1" min="4" max="5" width="7.25"/>
    <col customWidth="1" min="6" max="6" width="7.0"/>
    <col customWidth="1" min="7" max="7" width="4.13"/>
    <col customWidth="1" min="8" max="8" width="6.88"/>
    <col customWidth="1" min="9" max="9" width="7.63"/>
    <col customWidth="1" min="10" max="15" width="8.5"/>
  </cols>
  <sheetData>
    <row r="1">
      <c r="A1" s="1"/>
      <c r="B1" s="1" t="s">
        <v>14</v>
      </c>
      <c r="C1" s="1" t="s">
        <v>15</v>
      </c>
      <c r="D1" s="1" t="s">
        <v>5</v>
      </c>
      <c r="E1" s="1" t="s">
        <v>16</v>
      </c>
      <c r="F1" s="1" t="s">
        <v>17</v>
      </c>
      <c r="G1" s="1" t="s">
        <v>18</v>
      </c>
      <c r="H1" s="1" t="s">
        <v>19</v>
      </c>
      <c r="I1" s="1">
        <v>0.0</v>
      </c>
      <c r="J1" s="1">
        <v>10.0</v>
      </c>
      <c r="K1" s="1">
        <v>20.0</v>
      </c>
      <c r="L1" s="1">
        <v>35.0</v>
      </c>
      <c r="M1" s="1">
        <v>50.0</v>
      </c>
      <c r="N1" s="1">
        <v>70.0</v>
      </c>
      <c r="O1" s="1">
        <v>80.0</v>
      </c>
    </row>
    <row r="2">
      <c r="A2" s="3" t="s">
        <v>20</v>
      </c>
      <c r="B2" s="4">
        <v>670.0</v>
      </c>
      <c r="C2" s="1">
        <v>0.0025</v>
      </c>
      <c r="D2" s="1">
        <v>0.04</v>
      </c>
      <c r="E2" s="1">
        <v>1.25</v>
      </c>
      <c r="F2" s="1">
        <v>0.8</v>
      </c>
      <c r="G2" s="5">
        <v>830.0</v>
      </c>
      <c r="H2" s="1">
        <v>1.34</v>
      </c>
      <c r="I2" s="6">
        <v>25.0</v>
      </c>
      <c r="J2" s="6">
        <v>25.0</v>
      </c>
      <c r="K2" s="6">
        <v>25.0</v>
      </c>
      <c r="L2" s="6">
        <v>20.0</v>
      </c>
      <c r="M2" s="6">
        <v>20.0</v>
      </c>
      <c r="N2" s="6">
        <v>20.0</v>
      </c>
      <c r="O2" s="6">
        <v>16.7</v>
      </c>
    </row>
    <row r="3">
      <c r="A3" s="3" t="s">
        <v>21</v>
      </c>
      <c r="B3" s="4">
        <v>780.0</v>
      </c>
      <c r="C3" s="1">
        <v>0.0025</v>
      </c>
      <c r="D3" s="1">
        <v>0.04</v>
      </c>
      <c r="E3" s="1">
        <v>1.25</v>
      </c>
      <c r="F3" s="1">
        <v>0.8</v>
      </c>
      <c r="G3" s="7">
        <v>720.0</v>
      </c>
      <c r="H3" s="1">
        <v>1.34</v>
      </c>
      <c r="I3" s="6">
        <v>25.0</v>
      </c>
      <c r="J3" s="6">
        <v>25.0</v>
      </c>
      <c r="K3" s="6">
        <v>25.0</v>
      </c>
      <c r="L3" s="6">
        <v>20.0</v>
      </c>
      <c r="M3" s="6">
        <v>20.0</v>
      </c>
      <c r="N3" s="6">
        <v>20.0</v>
      </c>
      <c r="O3" s="6">
        <v>16.7</v>
      </c>
    </row>
    <row r="4">
      <c r="A4" s="3" t="s">
        <v>22</v>
      </c>
      <c r="B4" s="4">
        <v>800.0</v>
      </c>
      <c r="C4" s="1">
        <v>0.0025</v>
      </c>
      <c r="D4" s="1">
        <v>0.04</v>
      </c>
      <c r="E4" s="1">
        <v>1.25</v>
      </c>
      <c r="F4" s="1">
        <v>0.8</v>
      </c>
      <c r="G4" s="9">
        <v>568.0</v>
      </c>
      <c r="H4" s="1">
        <v>1.34</v>
      </c>
      <c r="I4" s="6">
        <v>25.0</v>
      </c>
      <c r="J4" s="6">
        <v>25.0</v>
      </c>
      <c r="K4" s="6">
        <v>25.0</v>
      </c>
      <c r="L4" s="6">
        <v>20.0</v>
      </c>
      <c r="M4" s="6">
        <v>20.0</v>
      </c>
      <c r="N4" s="6">
        <v>20.0</v>
      </c>
      <c r="O4" s="6">
        <v>16.7</v>
      </c>
    </row>
    <row r="5">
      <c r="A5" s="3" t="s">
        <v>23</v>
      </c>
      <c r="B5" s="4">
        <v>720.0</v>
      </c>
      <c r="C5" s="1">
        <v>0.0025</v>
      </c>
      <c r="D5" s="1">
        <v>0.04</v>
      </c>
      <c r="E5" s="1">
        <v>1.25</v>
      </c>
      <c r="F5" s="1">
        <v>0.8</v>
      </c>
      <c r="G5" s="10">
        <v>514.0</v>
      </c>
      <c r="H5" s="1">
        <v>1.34</v>
      </c>
      <c r="I5" s="11">
        <v>33.4</v>
      </c>
      <c r="J5" s="11">
        <v>33.4</v>
      </c>
      <c r="K5" s="11">
        <v>33.4</v>
      </c>
      <c r="L5" s="11">
        <v>25.0</v>
      </c>
      <c r="M5" s="11">
        <v>25.0</v>
      </c>
      <c r="N5" s="11">
        <v>25.0</v>
      </c>
      <c r="O5" s="11">
        <v>20.0</v>
      </c>
    </row>
    <row r="6">
      <c r="A6" s="3" t="s">
        <v>24</v>
      </c>
      <c r="B6" s="4">
        <v>648.0</v>
      </c>
      <c r="C6" s="1">
        <v>0.0025</v>
      </c>
      <c r="D6" s="1">
        <v>0.04</v>
      </c>
      <c r="E6" s="1">
        <v>1.25</v>
      </c>
      <c r="F6" s="1">
        <v>0.8</v>
      </c>
      <c r="G6" s="7">
        <v>720.0</v>
      </c>
      <c r="H6" s="1">
        <v>1.34</v>
      </c>
      <c r="I6" s="11">
        <v>33.4</v>
      </c>
      <c r="J6" s="11">
        <v>33.4</v>
      </c>
      <c r="K6" s="11">
        <v>33.4</v>
      </c>
      <c r="L6" s="11">
        <v>25.0</v>
      </c>
      <c r="M6" s="11">
        <v>25.0</v>
      </c>
      <c r="N6" s="11">
        <v>25.0</v>
      </c>
      <c r="O6" s="11">
        <v>20.0</v>
      </c>
    </row>
    <row r="7">
      <c r="A7" s="3" t="s">
        <v>25</v>
      </c>
      <c r="B7" s="4">
        <v>760.0</v>
      </c>
      <c r="C7" s="1">
        <v>0.0025</v>
      </c>
      <c r="D7" s="1">
        <v>0.04</v>
      </c>
      <c r="E7" s="1">
        <v>1.25</v>
      </c>
      <c r="F7" s="1">
        <v>0.8</v>
      </c>
      <c r="G7" s="11">
        <v>900.0</v>
      </c>
      <c r="H7" s="1">
        <v>1.34</v>
      </c>
      <c r="I7" s="10">
        <v>20.0</v>
      </c>
      <c r="J7" s="10">
        <v>20.0</v>
      </c>
      <c r="K7" s="10">
        <v>20.0</v>
      </c>
      <c r="L7" s="10">
        <v>16.7</v>
      </c>
      <c r="M7" s="10">
        <v>16.7</v>
      </c>
      <c r="N7" s="10">
        <v>16.7</v>
      </c>
      <c r="O7" s="10">
        <v>14.3</v>
      </c>
    </row>
    <row r="8">
      <c r="A8" s="3" t="s">
        <v>26</v>
      </c>
      <c r="B8" s="4">
        <v>671.0</v>
      </c>
      <c r="C8" s="1">
        <v>0.0025</v>
      </c>
      <c r="D8" s="1">
        <v>0.04</v>
      </c>
      <c r="E8" s="1">
        <v>1.25</v>
      </c>
      <c r="F8" s="1">
        <v>0.8</v>
      </c>
      <c r="G8" s="12">
        <v>654.0</v>
      </c>
      <c r="H8" s="1">
        <v>1.34</v>
      </c>
      <c r="I8" s="11">
        <v>33.4</v>
      </c>
      <c r="J8" s="13">
        <v>27.3</v>
      </c>
      <c r="K8" s="13">
        <v>27.3</v>
      </c>
      <c r="L8" s="14">
        <v>21.4</v>
      </c>
      <c r="M8" s="6">
        <v>20.0</v>
      </c>
      <c r="N8" s="6">
        <v>20.0</v>
      </c>
      <c r="O8" s="6">
        <v>16.7</v>
      </c>
    </row>
    <row r="9">
      <c r="A9" s="15" t="s">
        <v>27</v>
      </c>
      <c r="B9" s="4">
        <v>814.0</v>
      </c>
      <c r="C9" s="1">
        <v>0.0025</v>
      </c>
      <c r="D9" s="1">
        <v>0.04</v>
      </c>
      <c r="E9" s="1">
        <v>1.25</v>
      </c>
      <c r="F9" s="1">
        <v>0.8</v>
      </c>
      <c r="G9" s="16">
        <v>635.0</v>
      </c>
      <c r="H9" s="1">
        <v>1.34</v>
      </c>
      <c r="I9" s="17">
        <v>25.0</v>
      </c>
      <c r="J9" s="17">
        <v>25.0</v>
      </c>
      <c r="K9" s="17">
        <v>25.0</v>
      </c>
      <c r="L9" s="17">
        <v>20.0</v>
      </c>
      <c r="M9" s="17">
        <v>20.0</v>
      </c>
      <c r="N9" s="17">
        <v>20.0</v>
      </c>
      <c r="O9" s="17">
        <v>16.7</v>
      </c>
    </row>
    <row r="10">
      <c r="A10" s="18" t="s">
        <v>28</v>
      </c>
      <c r="B10" s="19">
        <v>630.0</v>
      </c>
      <c r="C10" s="1">
        <v>0.0025</v>
      </c>
      <c r="D10" s="1">
        <v>0.04</v>
      </c>
      <c r="E10" s="1">
        <v>1.25</v>
      </c>
      <c r="F10" s="1">
        <v>0.8</v>
      </c>
      <c r="G10" s="11">
        <v>900.0</v>
      </c>
      <c r="H10" s="1">
        <v>1.34</v>
      </c>
      <c r="I10" s="6">
        <v>25.0</v>
      </c>
      <c r="J10" s="20">
        <v>21.4</v>
      </c>
      <c r="K10" s="20">
        <v>21.4</v>
      </c>
      <c r="L10" s="21">
        <v>17.8</v>
      </c>
      <c r="M10" s="6">
        <v>16.7</v>
      </c>
      <c r="N10" s="6">
        <v>16.7</v>
      </c>
      <c r="O10" s="6">
        <v>14.3</v>
      </c>
    </row>
    <row r="11">
      <c r="A11" s="18" t="s">
        <v>29</v>
      </c>
      <c r="B11" s="22">
        <v>624.0</v>
      </c>
      <c r="C11" s="1">
        <v>0.0025</v>
      </c>
      <c r="D11" s="1">
        <v>0.04</v>
      </c>
      <c r="E11" s="1">
        <v>1.25</v>
      </c>
      <c r="F11" s="1">
        <v>0.8</v>
      </c>
      <c r="G11" s="6">
        <v>720.0</v>
      </c>
      <c r="H11" s="1">
        <v>1.34</v>
      </c>
      <c r="I11" s="6">
        <v>25.0</v>
      </c>
      <c r="J11" s="23">
        <v>25.0</v>
      </c>
      <c r="K11" s="23">
        <v>25.0</v>
      </c>
      <c r="L11" s="11">
        <v>25.0</v>
      </c>
      <c r="M11" s="11">
        <v>25.0</v>
      </c>
      <c r="N11" s="11">
        <v>25.0</v>
      </c>
      <c r="O11" s="11">
        <v>20.0</v>
      </c>
    </row>
    <row r="12">
      <c r="A12" s="18" t="s">
        <v>30</v>
      </c>
      <c r="B12" s="11">
        <v>737.0</v>
      </c>
      <c r="C12" s="1">
        <v>0.0025</v>
      </c>
      <c r="D12" s="1">
        <v>0.04</v>
      </c>
      <c r="E12" s="1">
        <v>1.25</v>
      </c>
      <c r="F12" s="1">
        <v>0.8</v>
      </c>
      <c r="G12" s="6">
        <v>720.0</v>
      </c>
      <c r="H12" s="1">
        <v>1.34</v>
      </c>
      <c r="I12" s="10">
        <v>20.0</v>
      </c>
      <c r="J12" s="10">
        <v>17.8</v>
      </c>
      <c r="K12" s="10">
        <v>17.8</v>
      </c>
      <c r="L12" s="10">
        <v>15.0</v>
      </c>
      <c r="M12" s="10">
        <v>14.3</v>
      </c>
      <c r="N12" s="10">
        <v>14.3</v>
      </c>
      <c r="O12" s="10">
        <v>12.5</v>
      </c>
    </row>
    <row r="13">
      <c r="A13" s="18" t="s">
        <v>31</v>
      </c>
      <c r="B13" s="24">
        <v>600.0</v>
      </c>
      <c r="C13" s="1">
        <v>0.0025</v>
      </c>
      <c r="D13" s="1">
        <v>0.04</v>
      </c>
      <c r="E13" s="1">
        <v>1.25</v>
      </c>
      <c r="F13" s="1">
        <v>0.8</v>
      </c>
      <c r="G13" s="25">
        <v>654.0</v>
      </c>
      <c r="H13" s="1">
        <v>1.34</v>
      </c>
      <c r="I13" s="11">
        <v>33.4</v>
      </c>
      <c r="J13" s="11">
        <v>27.3</v>
      </c>
      <c r="K13" s="11">
        <v>27.3</v>
      </c>
      <c r="L13" s="26">
        <v>21.4</v>
      </c>
      <c r="M13" s="27">
        <v>20.0</v>
      </c>
      <c r="N13" s="27">
        <v>20.0</v>
      </c>
      <c r="O13" s="28">
        <v>16.7</v>
      </c>
    </row>
    <row r="14">
      <c r="A14" s="18" t="s">
        <v>33</v>
      </c>
      <c r="B14" s="29">
        <v>644.0</v>
      </c>
      <c r="C14" s="1">
        <v>0.0025</v>
      </c>
      <c r="D14" s="1">
        <v>0.04</v>
      </c>
      <c r="E14" s="1">
        <v>1.25</v>
      </c>
      <c r="F14" s="1">
        <v>0.8</v>
      </c>
      <c r="G14" s="30">
        <v>771.0</v>
      </c>
      <c r="H14" s="1">
        <v>1.34</v>
      </c>
      <c r="I14" s="6">
        <v>25.0</v>
      </c>
      <c r="J14" s="20">
        <v>21.4</v>
      </c>
      <c r="K14" s="20">
        <v>21.4</v>
      </c>
      <c r="L14" s="21">
        <v>17.8</v>
      </c>
      <c r="M14" s="6">
        <v>16.7</v>
      </c>
      <c r="N14" s="6">
        <v>16.7</v>
      </c>
      <c r="O14" s="6">
        <v>14.3</v>
      </c>
    </row>
    <row r="15">
      <c r="A15" s="18" t="s">
        <v>34</v>
      </c>
      <c r="B15" s="31">
        <v>599.0</v>
      </c>
      <c r="C15" s="1">
        <v>0.0025</v>
      </c>
      <c r="D15" s="1">
        <v>0.04</v>
      </c>
      <c r="E15" s="1">
        <v>1.25</v>
      </c>
      <c r="F15" s="1">
        <v>0.8</v>
      </c>
      <c r="G15" s="32">
        <v>830.0</v>
      </c>
      <c r="H15" s="1">
        <v>1.34</v>
      </c>
      <c r="I15" s="6">
        <v>25.0</v>
      </c>
      <c r="J15" s="20">
        <v>21.4</v>
      </c>
      <c r="K15" s="20">
        <v>21.4</v>
      </c>
      <c r="L15" s="21">
        <v>17.8</v>
      </c>
      <c r="M15" s="33">
        <v>17.8</v>
      </c>
      <c r="N15" s="33">
        <v>17.8</v>
      </c>
      <c r="O15" s="6">
        <v>14.3</v>
      </c>
    </row>
    <row r="16">
      <c r="A16" s="18" t="s">
        <v>37</v>
      </c>
      <c r="B16" s="10">
        <v>519.0</v>
      </c>
      <c r="C16" s="1">
        <v>0.0025</v>
      </c>
      <c r="D16" s="1">
        <v>0.04</v>
      </c>
      <c r="E16" s="1">
        <v>1.25</v>
      </c>
      <c r="F16" s="1">
        <v>0.8</v>
      </c>
      <c r="G16" s="6">
        <v>720.0</v>
      </c>
      <c r="H16" s="1">
        <v>1.34</v>
      </c>
      <c r="I16" s="11">
        <v>33.4</v>
      </c>
      <c r="J16" s="23">
        <v>25.0</v>
      </c>
      <c r="K16" s="23">
        <v>25.0</v>
      </c>
      <c r="L16" s="34">
        <v>20.0</v>
      </c>
      <c r="M16" s="6">
        <v>16.7</v>
      </c>
      <c r="N16" s="6">
        <v>16.7</v>
      </c>
      <c r="O16" s="6">
        <v>14.3</v>
      </c>
    </row>
    <row r="17">
      <c r="A17" s="35" t="s">
        <v>38</v>
      </c>
      <c r="B17" s="36">
        <v>563.0</v>
      </c>
      <c r="C17" s="1">
        <v>0.0025</v>
      </c>
      <c r="D17" s="1">
        <v>0.04</v>
      </c>
      <c r="E17" s="1">
        <v>1.25</v>
      </c>
      <c r="F17" s="1">
        <v>0.8</v>
      </c>
      <c r="G17" s="37">
        <v>600.0</v>
      </c>
      <c r="H17" s="1">
        <v>1.34</v>
      </c>
      <c r="I17" s="38">
        <v>33.4</v>
      </c>
      <c r="J17" s="39">
        <v>25.0</v>
      </c>
      <c r="K17" s="39">
        <v>25.0</v>
      </c>
      <c r="L17" s="40">
        <v>20.0</v>
      </c>
      <c r="M17" s="17">
        <v>16.7</v>
      </c>
      <c r="N17" s="17">
        <v>16.7</v>
      </c>
      <c r="O17" s="17">
        <v>14.3</v>
      </c>
    </row>
    <row r="18">
      <c r="A18" s="41" t="s">
        <v>40</v>
      </c>
      <c r="B18" s="42">
        <v>402.0</v>
      </c>
      <c r="C18" s="1">
        <v>0.0025</v>
      </c>
      <c r="D18" s="1">
        <v>0.04</v>
      </c>
      <c r="E18" s="1">
        <v>1.25</v>
      </c>
      <c r="F18" s="1">
        <v>0.8</v>
      </c>
      <c r="G18" s="43">
        <v>830.0</v>
      </c>
      <c r="H18" s="1">
        <v>1.34</v>
      </c>
      <c r="I18" s="6">
        <v>25.0</v>
      </c>
      <c r="J18" s="6">
        <v>20.0</v>
      </c>
      <c r="K18" s="6">
        <v>20.0</v>
      </c>
      <c r="L18" s="6">
        <v>16.7</v>
      </c>
      <c r="M18" s="10">
        <v>14.3</v>
      </c>
      <c r="N18" s="10">
        <v>14.3</v>
      </c>
      <c r="O18" s="10">
        <v>12.5</v>
      </c>
    </row>
    <row r="19">
      <c r="A19" s="41" t="s">
        <v>41</v>
      </c>
      <c r="B19" s="44">
        <v>432.0</v>
      </c>
      <c r="C19" s="1">
        <v>0.0025</v>
      </c>
      <c r="D19" s="1">
        <v>0.04</v>
      </c>
      <c r="E19" s="1">
        <v>1.25</v>
      </c>
      <c r="F19" s="1">
        <v>0.8</v>
      </c>
      <c r="G19" s="44">
        <v>771.0</v>
      </c>
      <c r="H19" s="1">
        <v>1.34</v>
      </c>
      <c r="I19" s="6">
        <v>25.0</v>
      </c>
      <c r="J19" s="6">
        <v>20.0</v>
      </c>
      <c r="K19" s="6">
        <v>20.0</v>
      </c>
      <c r="L19" s="6">
        <v>16.7</v>
      </c>
      <c r="M19" s="10">
        <v>14.3</v>
      </c>
      <c r="N19" s="10">
        <v>14.3</v>
      </c>
      <c r="O19" s="10">
        <v>12.5</v>
      </c>
    </row>
    <row r="20">
      <c r="A20" s="41" t="s">
        <v>43</v>
      </c>
      <c r="B20" s="11">
        <v>600.0</v>
      </c>
      <c r="C20" s="1">
        <v>0.0025</v>
      </c>
      <c r="D20" s="1">
        <v>0.04</v>
      </c>
      <c r="E20" s="1">
        <v>1.25</v>
      </c>
      <c r="F20" s="1">
        <v>0.8</v>
      </c>
      <c r="G20" s="45">
        <v>947.0</v>
      </c>
      <c r="H20" s="1">
        <v>1.34</v>
      </c>
      <c r="I20" s="10">
        <v>16.7</v>
      </c>
      <c r="J20" s="10">
        <v>16.7</v>
      </c>
      <c r="K20" s="10">
        <v>16.7</v>
      </c>
      <c r="L20" s="10">
        <v>14.3</v>
      </c>
      <c r="M20" s="10">
        <v>14.3</v>
      </c>
      <c r="N20" s="10">
        <v>14.3</v>
      </c>
      <c r="O20" s="10">
        <v>12.5</v>
      </c>
    </row>
    <row r="21">
      <c r="A21" s="41" t="s">
        <v>46</v>
      </c>
      <c r="B21" s="46">
        <v>488.0</v>
      </c>
      <c r="C21" s="1">
        <v>0.0025</v>
      </c>
      <c r="D21" s="1">
        <v>0.04</v>
      </c>
      <c r="E21" s="1">
        <v>1.25</v>
      </c>
      <c r="F21" s="1">
        <v>0.8</v>
      </c>
      <c r="G21" s="10">
        <v>635.0</v>
      </c>
      <c r="H21" s="1">
        <v>1.34</v>
      </c>
      <c r="I21" s="6">
        <v>25.0</v>
      </c>
      <c r="J21" s="14">
        <v>21.4</v>
      </c>
      <c r="K21" s="14">
        <v>21.4</v>
      </c>
      <c r="L21" s="47">
        <v>17.8</v>
      </c>
      <c r="M21" s="11">
        <v>16.7</v>
      </c>
      <c r="N21" s="11">
        <v>16.7</v>
      </c>
      <c r="O21" s="11">
        <v>14.3</v>
      </c>
    </row>
    <row r="22">
      <c r="A22" s="41" t="s">
        <v>47</v>
      </c>
      <c r="B22" s="48">
        <v>570.0</v>
      </c>
      <c r="C22" s="1">
        <v>0.0025</v>
      </c>
      <c r="D22" s="1">
        <v>0.04</v>
      </c>
      <c r="E22" s="1">
        <v>1.25</v>
      </c>
      <c r="F22" s="1">
        <v>0.8</v>
      </c>
      <c r="G22" s="49">
        <v>900.0</v>
      </c>
      <c r="H22" s="1">
        <v>1.34</v>
      </c>
      <c r="I22" s="50">
        <v>20.0</v>
      </c>
      <c r="J22" s="51">
        <v>18.0</v>
      </c>
      <c r="K22" s="51">
        <v>18.0</v>
      </c>
      <c r="L22" s="52">
        <v>15.0</v>
      </c>
      <c r="M22" s="10">
        <v>14.3</v>
      </c>
      <c r="N22" s="10">
        <v>14.3</v>
      </c>
      <c r="O22" s="10">
        <v>12.5</v>
      </c>
    </row>
    <row r="23">
      <c r="A23" s="41" t="s">
        <v>48</v>
      </c>
      <c r="B23" s="10">
        <v>348.0</v>
      </c>
      <c r="C23" s="1">
        <v>0.0025</v>
      </c>
      <c r="D23" s="1">
        <v>0.04</v>
      </c>
      <c r="E23" s="1">
        <v>1.25</v>
      </c>
      <c r="F23" s="1">
        <v>0.8</v>
      </c>
      <c r="G23" s="11">
        <v>1080.0</v>
      </c>
      <c r="H23" s="1">
        <v>1.34</v>
      </c>
      <c r="I23" s="6">
        <v>25.0</v>
      </c>
      <c r="J23" s="6">
        <v>20.0</v>
      </c>
      <c r="K23" s="6">
        <v>20.0</v>
      </c>
      <c r="L23" s="6">
        <v>16.7</v>
      </c>
      <c r="M23" s="10">
        <v>14.3</v>
      </c>
      <c r="N23" s="10">
        <v>14.3</v>
      </c>
      <c r="O23" s="10">
        <v>12.5</v>
      </c>
    </row>
    <row r="24">
      <c r="A24" s="41" t="s">
        <v>39</v>
      </c>
      <c r="B24" s="54">
        <v>428.0</v>
      </c>
      <c r="C24" s="1">
        <v>0.0025</v>
      </c>
      <c r="D24" s="1">
        <v>0.04</v>
      </c>
      <c r="E24" s="1">
        <v>1.25</v>
      </c>
      <c r="F24" s="1">
        <v>0.8</v>
      </c>
      <c r="G24" s="55">
        <v>800.0</v>
      </c>
      <c r="H24" s="1">
        <v>1.34</v>
      </c>
      <c r="I24" s="11">
        <v>33.4</v>
      </c>
      <c r="J24" s="11">
        <v>25.0</v>
      </c>
      <c r="K24" s="11">
        <v>25.0</v>
      </c>
      <c r="L24" s="11">
        <v>20.0</v>
      </c>
      <c r="M24" s="11">
        <v>16.7</v>
      </c>
      <c r="N24" s="11">
        <v>16.7</v>
      </c>
      <c r="O24" s="11">
        <v>14.3</v>
      </c>
    </row>
    <row r="25">
      <c r="A25" s="56" t="s">
        <v>50</v>
      </c>
      <c r="B25" s="57">
        <v>510.0</v>
      </c>
      <c r="C25" s="1">
        <v>0.0025</v>
      </c>
      <c r="D25" s="1">
        <v>0.04</v>
      </c>
      <c r="E25" s="1">
        <v>1.25</v>
      </c>
      <c r="F25" s="1">
        <v>0.8</v>
      </c>
      <c r="G25" s="58">
        <v>675.0</v>
      </c>
      <c r="H25" s="1">
        <v>1.34</v>
      </c>
      <c r="I25" s="17">
        <v>25.0</v>
      </c>
      <c r="J25" s="17">
        <v>20.0</v>
      </c>
      <c r="K25" s="17">
        <v>20.0</v>
      </c>
      <c r="L25" s="17">
        <v>16.7</v>
      </c>
      <c r="M25" s="38">
        <v>16.7</v>
      </c>
      <c r="N25" s="38">
        <v>16.7</v>
      </c>
      <c r="O25" s="37">
        <v>12.5</v>
      </c>
    </row>
    <row r="26">
      <c r="A26" s="59" t="s">
        <v>52</v>
      </c>
      <c r="B26" s="60">
        <v>780.0</v>
      </c>
      <c r="C26" s="1">
        <v>0.0025</v>
      </c>
      <c r="D26" s="1">
        <v>0.04</v>
      </c>
      <c r="E26" s="1">
        <v>1.25</v>
      </c>
      <c r="F26" s="1">
        <v>0.8</v>
      </c>
      <c r="G26" s="62">
        <v>720.0</v>
      </c>
      <c r="H26" s="1">
        <v>1.34</v>
      </c>
      <c r="I26" s="10">
        <v>25.0</v>
      </c>
      <c r="J26" s="10">
        <v>25.0</v>
      </c>
      <c r="K26" s="10">
        <v>25.0</v>
      </c>
      <c r="L26" s="10">
        <v>20.0</v>
      </c>
      <c r="M26" s="10">
        <v>20.0</v>
      </c>
      <c r="N26" s="10">
        <v>20.0</v>
      </c>
      <c r="O26" s="10">
        <v>16.7</v>
      </c>
    </row>
    <row r="27">
      <c r="A27" s="59" t="s">
        <v>53</v>
      </c>
      <c r="B27" s="63">
        <v>720.0</v>
      </c>
      <c r="C27" s="1">
        <v>0.0025</v>
      </c>
      <c r="D27" s="1">
        <v>0.04</v>
      </c>
      <c r="E27" s="1">
        <v>1.25</v>
      </c>
      <c r="F27" s="1">
        <v>0.8</v>
      </c>
      <c r="G27" s="64">
        <v>771.0</v>
      </c>
      <c r="H27" s="1">
        <v>1.34</v>
      </c>
      <c r="I27" s="10">
        <v>25.0</v>
      </c>
      <c r="J27" s="10">
        <v>25.0</v>
      </c>
      <c r="K27" s="10">
        <v>25.0</v>
      </c>
      <c r="L27" s="10">
        <v>20.0</v>
      </c>
      <c r="M27" s="10">
        <v>20.0</v>
      </c>
      <c r="N27" s="10">
        <v>20.0</v>
      </c>
      <c r="O27" s="10">
        <v>16.7</v>
      </c>
    </row>
    <row r="28">
      <c r="A28" s="59" t="s">
        <v>54</v>
      </c>
      <c r="B28" s="63">
        <v>720.0</v>
      </c>
      <c r="C28" s="1">
        <v>0.0025</v>
      </c>
      <c r="D28" s="1">
        <v>0.04</v>
      </c>
      <c r="E28" s="1">
        <v>1.25</v>
      </c>
      <c r="F28" s="1">
        <v>0.8</v>
      </c>
      <c r="G28" s="10">
        <v>514.0</v>
      </c>
      <c r="H28" s="1">
        <v>1.34</v>
      </c>
      <c r="I28" s="11">
        <v>33.4</v>
      </c>
      <c r="J28" s="11">
        <v>33.4</v>
      </c>
      <c r="K28" s="11">
        <v>33.4</v>
      </c>
      <c r="L28" s="11">
        <v>25.0</v>
      </c>
      <c r="M28" s="11">
        <v>25.0</v>
      </c>
      <c r="N28" s="11">
        <v>25.0</v>
      </c>
      <c r="O28" s="27">
        <v>20.0</v>
      </c>
    </row>
    <row r="29">
      <c r="A29" s="59" t="s">
        <v>55</v>
      </c>
      <c r="B29" s="65">
        <v>670.0</v>
      </c>
      <c r="C29" s="1">
        <v>0.0025</v>
      </c>
      <c r="D29" s="1">
        <v>0.04</v>
      </c>
      <c r="E29" s="1">
        <v>1.25</v>
      </c>
      <c r="F29" s="1">
        <v>0.8</v>
      </c>
      <c r="G29" s="66">
        <v>553.0</v>
      </c>
      <c r="H29" s="1">
        <v>1.34</v>
      </c>
      <c r="I29" s="11">
        <v>33.4</v>
      </c>
      <c r="J29" s="13">
        <v>27.3</v>
      </c>
      <c r="K29" s="13">
        <v>27.3</v>
      </c>
      <c r="L29" s="67">
        <v>21.4</v>
      </c>
      <c r="M29" s="68">
        <v>21.0</v>
      </c>
      <c r="N29" s="10">
        <v>20.0</v>
      </c>
      <c r="O29" s="10">
        <v>16.7</v>
      </c>
    </row>
    <row r="30">
      <c r="A30" s="59" t="s">
        <v>56</v>
      </c>
      <c r="B30" s="69">
        <v>670.0</v>
      </c>
      <c r="C30" s="1">
        <v>0.0025</v>
      </c>
      <c r="D30" s="1">
        <v>0.04</v>
      </c>
      <c r="E30" s="1">
        <v>1.25</v>
      </c>
      <c r="F30" s="1">
        <v>0.8</v>
      </c>
      <c r="G30" s="11">
        <v>830.0</v>
      </c>
      <c r="H30" s="1">
        <v>1.34</v>
      </c>
      <c r="I30" s="10">
        <v>25.0</v>
      </c>
      <c r="J30" s="10">
        <v>25.0</v>
      </c>
      <c r="K30" s="10">
        <v>25.0</v>
      </c>
      <c r="L30" s="10">
        <v>20.0</v>
      </c>
      <c r="M30" s="10">
        <v>20.0</v>
      </c>
      <c r="N30" s="10">
        <v>20.0</v>
      </c>
      <c r="O30" s="10">
        <v>16.7</v>
      </c>
    </row>
    <row r="31">
      <c r="A31" s="59" t="s">
        <v>57</v>
      </c>
      <c r="B31" s="70">
        <v>760.0</v>
      </c>
      <c r="C31" s="1">
        <v>0.0025</v>
      </c>
      <c r="D31" s="1">
        <v>0.04</v>
      </c>
      <c r="E31" s="1">
        <v>1.25</v>
      </c>
      <c r="F31" s="1">
        <v>0.8</v>
      </c>
      <c r="G31" s="71">
        <v>675.0</v>
      </c>
      <c r="H31" s="1">
        <v>1.34</v>
      </c>
      <c r="I31" s="10">
        <v>25.0</v>
      </c>
      <c r="J31" s="10">
        <v>25.0</v>
      </c>
      <c r="K31" s="10">
        <v>25.0</v>
      </c>
      <c r="L31" s="11">
        <v>25.0</v>
      </c>
      <c r="M31" s="11">
        <v>25.0</v>
      </c>
      <c r="N31" s="11">
        <v>25.0</v>
      </c>
      <c r="O31" s="11">
        <v>25.0</v>
      </c>
    </row>
    <row r="32">
      <c r="A32" s="59" t="s">
        <v>42</v>
      </c>
      <c r="B32" s="72">
        <v>840.0</v>
      </c>
      <c r="C32" s="1">
        <v>0.0025</v>
      </c>
      <c r="D32" s="1">
        <v>0.04</v>
      </c>
      <c r="E32" s="1">
        <v>1.25</v>
      </c>
      <c r="F32" s="1">
        <v>0.8</v>
      </c>
      <c r="G32" s="10">
        <v>514.0</v>
      </c>
      <c r="H32" s="1">
        <v>1.34</v>
      </c>
      <c r="I32" s="10">
        <v>25.0</v>
      </c>
      <c r="J32" s="10">
        <v>25.0</v>
      </c>
      <c r="K32" s="10">
        <v>25.0</v>
      </c>
      <c r="L32" s="10">
        <v>20.0</v>
      </c>
      <c r="M32" s="10">
        <v>20.0</v>
      </c>
      <c r="N32" s="10">
        <v>20.0</v>
      </c>
      <c r="O32" s="10">
        <v>16.7</v>
      </c>
    </row>
    <row r="33">
      <c r="A33" s="73" t="s">
        <v>58</v>
      </c>
      <c r="B33" s="37">
        <v>630.0</v>
      </c>
      <c r="C33" s="1">
        <v>0.0025</v>
      </c>
      <c r="D33" s="1">
        <v>0.04</v>
      </c>
      <c r="E33" s="1">
        <v>1.25</v>
      </c>
      <c r="F33" s="1">
        <v>0.8</v>
      </c>
      <c r="G33" s="16">
        <v>600.0</v>
      </c>
      <c r="H33" s="1">
        <v>1.34</v>
      </c>
      <c r="I33" s="38">
        <v>33.4</v>
      </c>
      <c r="J33" s="38">
        <v>33.4</v>
      </c>
      <c r="K33" s="38">
        <v>33.4</v>
      </c>
      <c r="L33" s="38">
        <v>25.0</v>
      </c>
      <c r="M33" s="38">
        <v>25.0</v>
      </c>
      <c r="N33" s="38">
        <v>25.0</v>
      </c>
      <c r="O33" s="74">
        <v>20.0</v>
      </c>
    </row>
    <row r="34">
      <c r="A34" s="75" t="s">
        <v>59</v>
      </c>
      <c r="B34" s="76">
        <v>800.0</v>
      </c>
      <c r="C34" s="1">
        <v>0.0025</v>
      </c>
      <c r="D34" s="1">
        <v>0.04</v>
      </c>
      <c r="E34" s="1">
        <v>1.25</v>
      </c>
      <c r="F34" s="1">
        <v>0.8</v>
      </c>
      <c r="G34" s="77">
        <v>257.0</v>
      </c>
      <c r="H34" s="1">
        <v>1.5</v>
      </c>
      <c r="I34" s="6">
        <v>40.0</v>
      </c>
      <c r="J34" s="6">
        <v>40.0</v>
      </c>
      <c r="K34" s="6">
        <v>40.0</v>
      </c>
      <c r="L34" s="6">
        <v>37.7</v>
      </c>
      <c r="M34" s="6">
        <v>37.7</v>
      </c>
      <c r="N34" s="6">
        <v>37.7</v>
      </c>
      <c r="O34" s="6">
        <v>33.4</v>
      </c>
    </row>
    <row r="35">
      <c r="A35" s="75" t="s">
        <v>60</v>
      </c>
      <c r="B35" s="78">
        <v>880.0</v>
      </c>
      <c r="C35" s="1">
        <v>0.0025</v>
      </c>
      <c r="D35" s="1">
        <v>0.04</v>
      </c>
      <c r="E35" s="1">
        <v>1.25</v>
      </c>
      <c r="F35" s="1">
        <v>0.8</v>
      </c>
      <c r="G35" s="11">
        <v>450.0</v>
      </c>
      <c r="H35" s="1">
        <v>1.34</v>
      </c>
      <c r="I35" s="10">
        <v>27.3</v>
      </c>
      <c r="J35" s="10">
        <v>27.3</v>
      </c>
      <c r="K35" s="10">
        <v>27.3</v>
      </c>
      <c r="L35" s="10">
        <v>25.0</v>
      </c>
      <c r="M35" s="10">
        <v>25.0</v>
      </c>
      <c r="N35" s="10">
        <v>25.0</v>
      </c>
      <c r="O35" s="10">
        <v>25.0</v>
      </c>
    </row>
    <row r="36">
      <c r="A36" s="75" t="s">
        <v>61</v>
      </c>
      <c r="B36" s="72">
        <v>720.0</v>
      </c>
      <c r="C36" s="1">
        <v>0.0025</v>
      </c>
      <c r="D36" s="1">
        <v>0.04</v>
      </c>
      <c r="E36" s="1">
        <v>1.25</v>
      </c>
      <c r="F36" s="1">
        <v>0.8</v>
      </c>
      <c r="G36" s="10">
        <v>150.0</v>
      </c>
      <c r="H36" s="1">
        <v>1.5</v>
      </c>
      <c r="I36" s="11">
        <v>66.7</v>
      </c>
      <c r="J36" s="11">
        <v>60.0</v>
      </c>
      <c r="K36" s="11">
        <v>60.0</v>
      </c>
      <c r="L36" s="11">
        <v>50.0</v>
      </c>
      <c r="M36" s="11">
        <v>50.0</v>
      </c>
      <c r="N36" s="11">
        <v>50.0</v>
      </c>
      <c r="O36" s="11">
        <v>50.0</v>
      </c>
    </row>
    <row r="37">
      <c r="A37" s="79" t="s">
        <v>62</v>
      </c>
      <c r="B37" s="37">
        <v>640.0</v>
      </c>
      <c r="C37" s="1">
        <v>0.0025</v>
      </c>
      <c r="D37" s="1">
        <v>0.04</v>
      </c>
      <c r="E37" s="1">
        <v>1.25</v>
      </c>
      <c r="F37" s="1">
        <v>0.8</v>
      </c>
      <c r="G37" s="80">
        <v>300.0</v>
      </c>
      <c r="H37" s="1">
        <v>1.5</v>
      </c>
      <c r="I37" s="17">
        <v>40.0</v>
      </c>
      <c r="J37" s="17">
        <v>40.0</v>
      </c>
      <c r="K37" s="17">
        <v>40.0</v>
      </c>
      <c r="L37" s="17">
        <v>37.7</v>
      </c>
      <c r="M37" s="17">
        <v>37.7</v>
      </c>
      <c r="N37" s="17">
        <v>37.7</v>
      </c>
      <c r="O37" s="17">
        <v>33.4</v>
      </c>
    </row>
    <row r="38">
      <c r="A38" s="81" t="s">
        <v>65</v>
      </c>
      <c r="B38" s="82">
        <v>350.0</v>
      </c>
      <c r="C38" s="1">
        <v>0.0025</v>
      </c>
      <c r="D38" s="1">
        <v>0.04</v>
      </c>
      <c r="E38" s="1">
        <v>1.25</v>
      </c>
      <c r="F38" s="1">
        <v>0.8</v>
      </c>
      <c r="G38" s="83">
        <v>400.0</v>
      </c>
      <c r="H38" s="1">
        <v>1.34</v>
      </c>
      <c r="I38" s="6">
        <v>25.0</v>
      </c>
      <c r="J38" s="84">
        <v>20.0</v>
      </c>
      <c r="K38" s="84">
        <v>20.0</v>
      </c>
      <c r="L38" s="85">
        <v>16.7</v>
      </c>
      <c r="M38" s="10">
        <v>14.3</v>
      </c>
      <c r="N38" s="10">
        <v>14.3</v>
      </c>
      <c r="O38" s="10">
        <v>12.5</v>
      </c>
    </row>
    <row r="39">
      <c r="A39" s="81" t="s">
        <v>67</v>
      </c>
      <c r="B39" s="86">
        <v>650.0</v>
      </c>
      <c r="C39" s="1">
        <v>0.0025</v>
      </c>
      <c r="D39" s="1">
        <v>0.04</v>
      </c>
      <c r="E39" s="1">
        <v>1.25</v>
      </c>
      <c r="F39" s="1">
        <v>0.8</v>
      </c>
      <c r="G39" s="87">
        <v>450.0</v>
      </c>
      <c r="H39" s="1">
        <v>1.34</v>
      </c>
      <c r="I39" s="10">
        <v>20.0</v>
      </c>
      <c r="J39" s="10">
        <v>17.8</v>
      </c>
      <c r="K39" s="10">
        <v>17.8</v>
      </c>
      <c r="L39" s="10">
        <v>15.0</v>
      </c>
      <c r="M39" s="10">
        <v>14.3</v>
      </c>
      <c r="N39" s="10">
        <v>14.3</v>
      </c>
      <c r="O39" s="10">
        <v>12.5</v>
      </c>
    </row>
    <row r="40">
      <c r="A40" s="81" t="s">
        <v>68</v>
      </c>
      <c r="B40" s="88">
        <v>336.0</v>
      </c>
      <c r="C40" s="1">
        <v>0.0025</v>
      </c>
      <c r="D40" s="1">
        <v>0.04</v>
      </c>
      <c r="E40" s="1">
        <v>1.25</v>
      </c>
      <c r="F40" s="1">
        <v>0.8</v>
      </c>
      <c r="G40" s="89">
        <v>327.0</v>
      </c>
      <c r="H40" s="1">
        <v>1.34</v>
      </c>
      <c r="I40" s="90">
        <v>33.4</v>
      </c>
      <c r="J40" s="91">
        <v>25.0</v>
      </c>
      <c r="K40" s="91">
        <v>25.0</v>
      </c>
      <c r="L40" s="33">
        <v>20.0</v>
      </c>
      <c r="M40" s="6">
        <v>16.7</v>
      </c>
      <c r="N40" s="10">
        <v>14.3</v>
      </c>
      <c r="O40" s="10">
        <v>12.5</v>
      </c>
    </row>
    <row r="41">
      <c r="A41" s="81" t="s">
        <v>69</v>
      </c>
      <c r="B41" s="92">
        <v>440.0</v>
      </c>
      <c r="C41" s="1">
        <v>0.0025</v>
      </c>
      <c r="D41" s="1">
        <v>0.04</v>
      </c>
      <c r="E41" s="1">
        <v>1.25</v>
      </c>
      <c r="F41" s="1">
        <v>0.8</v>
      </c>
      <c r="G41" s="93">
        <v>163.0</v>
      </c>
      <c r="H41" s="1">
        <v>1.5</v>
      </c>
      <c r="I41" s="11">
        <v>60.0</v>
      </c>
      <c r="J41" s="11">
        <v>60.0</v>
      </c>
      <c r="K41" s="11">
        <v>60.0</v>
      </c>
      <c r="L41" s="11">
        <v>33.0</v>
      </c>
      <c r="M41" s="11">
        <v>33.0</v>
      </c>
      <c r="N41" s="11">
        <v>33.0</v>
      </c>
      <c r="O41" s="11">
        <v>25.0</v>
      </c>
    </row>
    <row r="42">
      <c r="A42" s="94" t="s">
        <v>70</v>
      </c>
      <c r="B42" s="17">
        <v>400.0</v>
      </c>
      <c r="C42" s="1">
        <v>0.0025</v>
      </c>
      <c r="D42" s="1">
        <v>0.04</v>
      </c>
      <c r="E42" s="1">
        <v>1.25</v>
      </c>
      <c r="F42" s="1">
        <v>0.8</v>
      </c>
      <c r="G42" s="95">
        <v>360.0</v>
      </c>
      <c r="H42" s="1">
        <v>1.34</v>
      </c>
      <c r="I42" s="17">
        <v>25.0</v>
      </c>
      <c r="J42" s="17">
        <v>21.0</v>
      </c>
      <c r="K42" s="17">
        <v>21.0</v>
      </c>
      <c r="L42" s="17">
        <v>18.0</v>
      </c>
      <c r="M42" s="96">
        <v>17.0</v>
      </c>
      <c r="N42" s="97">
        <v>17.0</v>
      </c>
      <c r="O42" s="98">
        <v>14.0</v>
      </c>
    </row>
  </sheetData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2">
        <v>60.0</v>
      </c>
    </row>
    <row r="2">
      <c r="A2" s="1" t="s">
        <v>2</v>
      </c>
      <c r="B2" s="1">
        <f>1000/B1</f>
        <v>16.66666667</v>
      </c>
    </row>
    <row r="5">
      <c r="A5" s="1" t="s">
        <v>3</v>
      </c>
      <c r="B5" s="1" t="s">
        <v>4</v>
      </c>
      <c r="C5" s="1" t="s">
        <v>5</v>
      </c>
    </row>
    <row r="6">
      <c r="A6" s="1" t="s">
        <v>6</v>
      </c>
      <c r="B6" s="1">
        <v>0.0</v>
      </c>
      <c r="C6" s="1">
        <v>1.0</v>
      </c>
    </row>
    <row r="7">
      <c r="A7" s="1" t="s">
        <v>7</v>
      </c>
      <c r="B7" s="1">
        <v>0.25</v>
      </c>
      <c r="C7" s="1">
        <v>1.0</v>
      </c>
    </row>
    <row r="8">
      <c r="A8" s="1" t="s">
        <v>8</v>
      </c>
      <c r="B8" s="1">
        <v>0.5</v>
      </c>
      <c r="C8" s="1">
        <v>1.0</v>
      </c>
    </row>
    <row r="9">
      <c r="A9" s="1" t="s">
        <v>9</v>
      </c>
      <c r="B9" s="1">
        <v>0.0</v>
      </c>
      <c r="C9" s="1">
        <v>0.04</v>
      </c>
    </row>
    <row r="11">
      <c r="A11" s="1" t="s">
        <v>10</v>
      </c>
      <c r="B11" s="1" t="s">
        <v>11</v>
      </c>
    </row>
    <row r="12">
      <c r="A12" s="1" t="s">
        <v>6</v>
      </c>
      <c r="B12" s="1">
        <v>1.0</v>
      </c>
    </row>
    <row r="13">
      <c r="A13" s="1" t="s">
        <v>12</v>
      </c>
      <c r="B13" s="1">
        <v>1.25</v>
      </c>
    </row>
    <row r="14">
      <c r="A14" s="1" t="s">
        <v>13</v>
      </c>
      <c r="B14" s="1">
        <v>0.8</v>
      </c>
    </row>
  </sheetData>
  <drawing r:id="rId1"/>
</worksheet>
</file>